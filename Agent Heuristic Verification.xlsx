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ll Requests" sheetId="1" state="visible" r:id="rId3"/>
    <sheet name="Definitions" sheetId="2" state="visible" r:id="rId4"/>
    <sheet name="Metric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<sst xmlns="http://schemas.openxmlformats.org/spreadsheetml/2006/main" count="1036" uniqueCount="817">
  <si>
    <t xml:space="preserve">Agent Generated</t>
  </si>
  <si>
    <t xml:space="preserve">Repository Full Name</t>
  </si>
  <si>
    <t xml:space="preserve">Created At</t>
  </si>
  <si>
    <t xml:space="preserve">Closed At</t>
  </si>
  <si>
    <t xml:space="preserve">Head Ref Name</t>
  </si>
  <si>
    <t xml:space="preserve">Permalink</t>
  </si>
  <si>
    <t xml:space="preserve">Heuristic</t>
  </si>
  <si>
    <t xml:space="preserve">Manual</t>
  </si>
  <si>
    <t xml:space="preserve">Notes</t>
  </si>
  <si>
    <t xml:space="preserve">Genymobile/scrcpy</t>
  </si>
  <si>
    <t xml:space="preserve">2024-08-12 23:07:03+00:00</t>
  </si>
  <si>
    <t xml:space="preserve">2024-08-13 01:40:24+00:00</t>
  </si>
  <si>
    <t xml:space="preserve">master</t>
  </si>
  <si>
    <t xml:space="preserve">https://github.com/Genymobile/scrcpy/pull/5189</t>
  </si>
  <si>
    <t xml:space="preserve">2018-03-25 09:51:40+00:00</t>
  </si>
  <si>
    <t xml:space="preserve">2018-03-25 12:00:21+00:00</t>
  </si>
  <si>
    <t xml:space="preserve">patch-1</t>
  </si>
  <si>
    <t xml:space="preserve">https://github.com/Genymobile/scrcpy/pull/95</t>
  </si>
  <si>
    <t xml:space="preserve">ant-design/ant-design</t>
  </si>
  <si>
    <t xml:space="preserve">2026-01-12 07:02:24+00:00</t>
  </si>
  <si>
    <t xml:space="preserve">2026-01-26 06:24:31+00:00</t>
  </si>
  <si>
    <t xml:space="preserve">feat/upload-add-uploadButton-classNames-style</t>
  </si>
  <si>
    <t xml:space="preserve">https://github.com/ant-design/ant-design/pull/56578</t>
  </si>
  <si>
    <t xml:space="preserve">2025-11-25 18:02:36+00:00</t>
  </si>
  <si>
    <t xml:space="preserve">fix/button-loading-icon-alignment</t>
  </si>
  <si>
    <t xml:space="preserve">https://github.com/ant-design/ant-design/pull/55907</t>
  </si>
  <si>
    <t xml:space="preserve">2025-10-23 13:57:19+00:00</t>
  </si>
  <si>
    <t xml:space="preserve">2025-10-24 01:12:44+00:00</t>
  </si>
  <si>
    <t xml:space="preserve">effect-upload-list</t>
  </si>
  <si>
    <t xml:space="preserve">https://github.com/ant-design/ant-design/pull/55425</t>
  </si>
  <si>
    <t xml:space="preserve">2025-08-06 02:43:33+00:00</t>
  </si>
  <si>
    <t xml:space="preserve">2025-08-07 08:57:20+00:00</t>
  </si>
  <si>
    <t xml:space="preserve">table-checkHeader-props</t>
  </si>
  <si>
    <t xml:space="preserve">https://github.com/ant-design/ant-design/pull/54600</t>
  </si>
  <si>
    <t xml:space="preserve">2025-06-12 02:24:00+00:00</t>
  </si>
  <si>
    <t xml:space="preserve">2025-06-12 04:03:20+00:00</t>
  </si>
  <si>
    <t xml:space="preserve">fix-minimatch</t>
  </si>
  <si>
    <t xml:space="preserve">https://github.com/ant-design/ant-design/pull/54062</t>
  </si>
  <si>
    <t xml:space="preserve">2024-10-03 04:31:09+00:00</t>
  </si>
  <si>
    <t xml:space="preserve">2024-10-03 06:25:52+00:00</t>
  </si>
  <si>
    <t xml:space="preserve">https://github.com/ant-design/ant-design/pull/51102</t>
  </si>
  <si>
    <t xml:space="preserve">2024-09-24 10:13:42+00:00</t>
  </si>
  <si>
    <t xml:space="preserve">2024-09-24 10:50:08+00:00</t>
  </si>
  <si>
    <t xml:space="preserve">test/visual-diff</t>
  </si>
  <si>
    <t xml:space="preserve">https://github.com/ant-design/ant-design/pull/50993</t>
  </si>
  <si>
    <t xml:space="preserve">2024-08-21 03:59:54+00:00</t>
  </si>
  <si>
    <t xml:space="preserve">2024-08-21 04:41:09+00:00</t>
  </si>
  <si>
    <t xml:space="preserve">type-test</t>
  </si>
  <si>
    <t xml:space="preserve">https://github.com/ant-design/ant-design/pull/50515</t>
  </si>
  <si>
    <t xml:space="preserve">2024-05-22 15:56:21+00:00</t>
  </si>
  <si>
    <t xml:space="preserve">2024-05-25 10:53:05+00:00</t>
  </si>
  <si>
    <t xml:space="preserve">docs/update-tour-type</t>
  </si>
  <si>
    <t xml:space="preserve">https://github.com/ant-design/ant-design/pull/49029</t>
  </si>
  <si>
    <t xml:space="preserve">2024-03-22 08:19:37+00:00</t>
  </si>
  <si>
    <t xml:space="preserve">2024-03-22 08:38:59+00:00</t>
  </si>
  <si>
    <t xml:space="preserve">docs/upload-faq</t>
  </si>
  <si>
    <t xml:space="preserve">https://github.com/ant-design/ant-design/pull/48021</t>
  </si>
  <si>
    <t xml:space="preserve">2024-03-06 14:28:28+00:00</t>
  </si>
  <si>
    <t xml:space="preserve">2024-03-06 17:56:59+00:00</t>
  </si>
  <si>
    <t xml:space="preserve">dependabot/npm_and_yarn/dev-dependencies-c6e9fc193c</t>
  </si>
  <si>
    <t xml:space="preserve">https://github.com/ant-design/ant-design/pull/47745</t>
  </si>
  <si>
    <t xml:space="preserve">2023-09-25 08:44:58+00:00</t>
  </si>
  <si>
    <t xml:space="preserve">2023-09-25 10:15:22+00:00</t>
  </si>
  <si>
    <t xml:space="preserve">https://github.com/ant-design/ant-design/pull/45067</t>
  </si>
  <si>
    <t xml:space="preserve">Regular merge of master and feature branches</t>
  </si>
  <si>
    <t xml:space="preserve">2023-08-09 03:47:28+00:00</t>
  </si>
  <si>
    <t xml:space="preserve">2023-08-09 03:52:36+00:00</t>
  </si>
  <si>
    <t xml:space="preserve">fix-image-ts</t>
  </si>
  <si>
    <t xml:space="preserve">https://github.com/ant-design/ant-design/pull/44125</t>
  </si>
  <si>
    <t xml:space="preserve">2023-07-28 06:35:19+00:00</t>
  </si>
  <si>
    <t xml:space="preserve">2023-07-28 09:39:38+00:00</t>
  </si>
  <si>
    <t xml:space="preserve">disabled-tooltip</t>
  </si>
  <si>
    <t xml:space="preserve">https://github.com/ant-design/ant-design/pull/43872</t>
  </si>
  <si>
    <t xml:space="preserve">2023-04-11 09:55:38+00:00</t>
  </si>
  <si>
    <t xml:space="preserve">2023-10-16 12:09:54+00:00</t>
  </si>
  <si>
    <t xml:space="preserve">docs/demo-token</t>
  </si>
  <si>
    <t xml:space="preserve">https://github.com/ant-design/ant-design/pull/41752</t>
  </si>
  <si>
    <t xml:space="preserve">2022-12-20 17:48:56+00:00</t>
  </si>
  <si>
    <t xml:space="preserve">2022-12-22 08:00:22+00:00</t>
  </si>
  <si>
    <t xml:space="preserve">doc/BreakpointsValues</t>
  </si>
  <si>
    <t xml:space="preserve">https://github.com/ant-design/ant-design/pull/39689</t>
  </si>
  <si>
    <t xml:space="preserve">2022-11-24 02:16:58+00:00</t>
  </si>
  <si>
    <t xml:space="preserve">2022-11-24 04:04:05+00:00</t>
  </si>
  <si>
    <t xml:space="preserve">https://github.com/ant-design/ant-design/pull/38930</t>
  </si>
  <si>
    <t xml:space="preserve">2022-11-17 09:37:55+00:00</t>
  </si>
  <si>
    <t xml:space="preserve">2022-11-17 10:28:14+00:00</t>
  </si>
  <si>
    <t xml:space="preserve">fix/demo-cols-2</t>
  </si>
  <si>
    <t xml:space="preserve">https://github.com/ant-design/ant-design/pull/38631</t>
  </si>
  <si>
    <t xml:space="preserve">2022-10-17 14:14:34+00:00</t>
  </si>
  <si>
    <t xml:space="preserve">2022-10-17 15:14:45+00:00</t>
  </si>
  <si>
    <t xml:space="preserve">test-form</t>
  </si>
  <si>
    <t xml:space="preserve">https://github.com/ant-design/ant-design/pull/38071</t>
  </si>
  <si>
    <t xml:space="preserve">2022-10-17 03:02:23+00:00</t>
  </si>
  <si>
    <t xml:space="preserve">2022-10-17 04:03:15+00:00</t>
  </si>
  <si>
    <t xml:space="preserve">chore/update-puppeteer-docker</t>
  </si>
  <si>
    <t xml:space="preserve">https://github.com/ant-design/ant-design/pull/38048</t>
  </si>
  <si>
    <t xml:space="preserve">2022-07-03 01:43:09+00:00</t>
  </si>
  <si>
    <t xml:space="preserve">2022-07-03 02:06:19+00:00</t>
  </si>
  <si>
    <t xml:space="preserve">next-merge-master</t>
  </si>
  <si>
    <t xml:space="preserve">https://github.com/ant-design/ant-design/pull/36351</t>
  </si>
  <si>
    <t xml:space="preserve">2022-04-29 15:07:28+00:00</t>
  </si>
  <si>
    <t xml:space="preserve">2022-04-29 15:29:48+00:00</t>
  </si>
  <si>
    <t xml:space="preserve">style/switch-bg-dark-theme</t>
  </si>
  <si>
    <t xml:space="preserve">https://github.com/ant-design/ant-design/pull/35332</t>
  </si>
  <si>
    <t xml:space="preserve">2022-04-27 07:50:22+00:00</t>
  </si>
  <si>
    <t xml:space="preserve">2022-04-27 08:27:14+00:00</t>
  </si>
  <si>
    <t xml:space="preserve">kpustakhod-table-sorting-a11y-fix</t>
  </si>
  <si>
    <t xml:space="preserve">https://github.com/ant-design/ant-design/pull/35269</t>
  </si>
  <si>
    <t xml:space="preserve">2021-11-26 02:18:19+00:00</t>
  </si>
  <si>
    <t xml:space="preserve">2021-11-26 03:09:16+00:00</t>
  </si>
  <si>
    <t xml:space="preserve">feature-merge-master</t>
  </si>
  <si>
    <t xml:space="preserve">https://github.com/ant-design/ant-design/pull/33038</t>
  </si>
  <si>
    <t xml:space="preserve">2020-11-13 11:22:59+00:00</t>
  </si>
  <si>
    <t xml:space="preserve">2020-11-13 11:26:49+00:00</t>
  </si>
  <si>
    <t xml:space="preserve">https://github.com/ant-design/ant-design/pull/27759</t>
  </si>
  <si>
    <t xml:space="preserve">2020-08-18 04:54:48+00:00</t>
  </si>
  <si>
    <t xml:space="preserve">2020-08-18 07:13:04+00:00</t>
  </si>
  <si>
    <t xml:space="preserve">fix-select</t>
  </si>
  <si>
    <t xml:space="preserve">https://github.com/ant-design/ant-design/pull/26255</t>
  </si>
  <si>
    <t xml:space="preserve">2020-08-17 11:53:17+00:00</t>
  </si>
  <si>
    <t xml:space="preserve">2020-08-29 05:43:52+00:00</t>
  </si>
  <si>
    <t xml:space="preserve">feature</t>
  </si>
  <si>
    <t xml:space="preserve">https://github.com/ant-design/ant-design/pull/26244</t>
  </si>
  <si>
    <t xml:space="preserve">2020-05-14 02:29:22+00:00</t>
  </si>
  <si>
    <t xml:space="preserve">2020-05-14 02:31:40+00:00</t>
  </si>
  <si>
    <t xml:space="preserve">patch-2</t>
  </si>
  <si>
    <t xml:space="preserve">https://github.com/ant-design/ant-design/pull/24143</t>
  </si>
  <si>
    <t xml:space="preserve">2020-04-01 11:03:11+00:00</t>
  </si>
  <si>
    <t xml:space="preserve">2020-04-01 11:15:31+00:00</t>
  </si>
  <si>
    <t xml:space="preserve">docs-table-faq</t>
  </si>
  <si>
    <t xml:space="preserve">https://github.com/ant-design/ant-design/pull/22829</t>
  </si>
  <si>
    <t xml:space="preserve">2020-03-10 04:06:12+00:00</t>
  </si>
  <si>
    <t xml:space="preserve">2020-03-10 07:17:24+00:00</t>
  </si>
  <si>
    <t xml:space="preserve">update-popover-popconfirm-dom</t>
  </si>
  <si>
    <t xml:space="preserve">https://github.com/ant-design/ant-design/pull/22052</t>
  </si>
  <si>
    <t xml:space="preserve">2019-08-28 10:29:32+00:00</t>
  </si>
  <si>
    <t xml:space="preserve">2019-08-29 02:47:45+00:00</t>
  </si>
  <si>
    <t xml:space="preserve">feat-card-bg-vars</t>
  </si>
  <si>
    <t xml:space="preserve">https://github.com/ant-design/ant-design/pull/18531</t>
  </si>
  <si>
    <t xml:space="preserve">2019-03-08 07:23:29+00:00</t>
  </si>
  <si>
    <t xml:space="preserve">2019-03-08 08:52:27+00:00</t>
  </si>
  <si>
    <t xml:space="preserve">chore/mergem</t>
  </si>
  <si>
    <t xml:space="preserve">https://github.com/ant-design/ant-design/pull/15283</t>
  </si>
  <si>
    <t xml:space="preserve">2018-06-16 09:49:29+00:00</t>
  </si>
  <si>
    <t xml:space="preserve">2018-06-19 02:03:40+00:00</t>
  </si>
  <si>
    <t xml:space="preserve">https://github.com/ant-design/ant-design/pull/10934</t>
  </si>
  <si>
    <t xml:space="preserve">2017-07-29 13:43:20+00:00</t>
  </si>
  <si>
    <t xml:space="preserve">2017-07-30 06:17:57+00:00</t>
  </si>
  <si>
    <t xml:space="preserve">fix-#6698</t>
  </si>
  <si>
    <t xml:space="preserve">https://github.com/ant-design/ant-design/pull/7005</t>
  </si>
  <si>
    <t xml:space="preserve">2017-05-30 12:10:00+00:00</t>
  </si>
  <si>
    <t xml:space="preserve">2017-06-21 07:40:06+00:00</t>
  </si>
  <si>
    <t xml:space="preserve">https://github.com/ant-design/ant-design/pull/6296</t>
  </si>
  <si>
    <t xml:space="preserve">2017-02-09 06:49:54+00:00</t>
  </si>
  <si>
    <t xml:space="preserve">2017-02-09 07:20:07+00:00</t>
  </si>
  <si>
    <t xml:space="preserve">fix-4752</t>
  </si>
  <si>
    <t xml:space="preserve">https://github.com/ant-design/ant-design/pull/4812</t>
  </si>
  <si>
    <t xml:space="preserve">2016-12-31 12:01:28+00:00</t>
  </si>
  <si>
    <t xml:space="preserve">2017-01-01 09:20:09+00:00</t>
  </si>
  <si>
    <t xml:space="preserve">https://github.com/ant-design/ant-design/pull/4436</t>
  </si>
  <si>
    <t xml:space="preserve">2016-10-01 01:54:49+00:00</t>
  </si>
  <si>
    <t xml:space="preserve">2016-10-08 07:05:08+00:00</t>
  </si>
  <si>
    <t xml:space="preserve">patch-13</t>
  </si>
  <si>
    <t xml:space="preserve">https://github.com/ant-design/ant-design/pull/3264</t>
  </si>
  <si>
    <t xml:space="preserve">2015-11-20 10:25:05+00:00</t>
  </si>
  <si>
    <t xml:space="preserve">2015-11-20 13:00:02+00:00</t>
  </si>
  <si>
    <t xml:space="preserve">components-lib</t>
  </si>
  <si>
    <t xml:space="preserve">https://github.com/ant-design/ant-design/pull/566</t>
  </si>
  <si>
    <t xml:space="preserve">2015-07-28 08:35:30+00:00</t>
  </si>
  <si>
    <t xml:space="preserve">2015-07-29 07:07:42+00:00</t>
  </si>
  <si>
    <t xml:space="preserve">enter-animation</t>
  </si>
  <si>
    <t xml:space="preserve">https://github.com/ant-design/ant-design/pull/81</t>
  </si>
  <si>
    <t xml:space="preserve">langchain-ai/langchain</t>
  </si>
  <si>
    <t xml:space="preserve">2026-04-01 19:23:40+00:00</t>
  </si>
  <si>
    <t xml:space="preserve">2026-04-01 19:57:16+00:00</t>
  </si>
  <si>
    <t xml:space="preserve">cc/release_core</t>
  </si>
  <si>
    <t xml:space="preserve">https://github.com/langchain-ai/langchain/pull/36434</t>
  </si>
  <si>
    <t xml:space="preserve">2026-03-11 18:24:29+00:00</t>
  </si>
  <si>
    <t xml:space="preserve">2026-03-11 18:24:54+00:00</t>
  </si>
  <si>
    <t xml:space="preserve">fix/image-open-context</t>
  </si>
  <si>
    <t xml:space="preserve">https://github.com/langchain-ai/langchain/pull/35768</t>
  </si>
  <si>
    <t xml:space="preserve">Author: “AI Assistant &lt;ai@example.com&gt;”</t>
  </si>
  <si>
    <t xml:space="preserve">2026-02-18 11:13:41+00:00</t>
  </si>
  <si>
    <t xml:space="preserve">2026-02-18 23:30:02+00:00</t>
  </si>
  <si>
    <t xml:space="preserve">fix/get-ls-params-integer-temperature</t>
  </si>
  <si>
    <t xml:space="preserve">https://github.com/langchain-ai/langchain/pull/35302</t>
  </si>
  <si>
    <t xml:space="preserve">2026-02-01 21:43:20+00:00</t>
  </si>
  <si>
    <t xml:space="preserve">2026-02-01 22:10:14+00:00</t>
  </si>
  <si>
    <t xml:space="preserve">feat/word-text-splitter</t>
  </si>
  <si>
    <t xml:space="preserve">https://github.com/langchain-ai/langchain/pull/34964</t>
  </si>
  <si>
    <t xml:space="preserve">2026-01-13 09:42:12+00:00</t>
  </si>
  <si>
    <t xml:space="preserve">2026-01-13 15:12:12+00:00</t>
  </si>
  <si>
    <t xml:space="preserve">worship-dog-patch-1</t>
  </si>
  <si>
    <t xml:space="preserve">https://github.com/langchain-ai/langchain/pull/34737</t>
  </si>
  <si>
    <t xml:space="preserve">2025-10-02 22:53:26+00:00</t>
  </si>
  <si>
    <t xml:space="preserve">2025-10-02 23:04:14+00:00</t>
  </si>
  <si>
    <t xml:space="preserve">mdrxy/release-chroma-1-0-0-a1</t>
  </si>
  <si>
    <t xml:space="preserve">https://github.com/langchain-ai/langchain/pull/33227</t>
  </si>
  <si>
    <t xml:space="preserve">2025-02-18 07:36:32+00:00</t>
  </si>
  <si>
    <t xml:space="preserve">2025-02-19 17:07:34+00:00</t>
  </si>
  <si>
    <t xml:space="preserve">https://github.com/langchain-ai/langchain/pull/29858</t>
  </si>
  <si>
    <t xml:space="preserve">The notebook file indicates the author used Google Colab, and so they likely used Gemini.</t>
  </si>
  <si>
    <t xml:space="preserve">2025-01-22 13:59:38+00:00</t>
  </si>
  <si>
    <t xml:space="preserve">2025-05-15 19:43:57+00:00</t>
  </si>
  <si>
    <t xml:space="preserve">ruff-core-ruf</t>
  </si>
  <si>
    <t xml:space="preserve">https://github.com/langchain-ai/langchain/pull/29353</t>
  </si>
  <si>
    <r>
      <rPr>
        <sz val="10"/>
        <rFont val="Arial"/>
        <family val="2"/>
      </rPr>
      <t xml:space="preserve">Large PR, but </t>
    </r>
    <r>
      <rPr>
        <sz val="10"/>
        <color rgb="FF0000FF"/>
        <rFont val="Arial"/>
        <family val="2"/>
      </rPr>
      <t xml:space="preserve">Ruff can automatically apply many fixes</t>
    </r>
  </si>
  <si>
    <t xml:space="preserve">2024-12-30 10:25:29+00:00</t>
  </si>
  <si>
    <t xml:space="preserve">2025-01-02 17:16:31+00:00</t>
  </si>
  <si>
    <t xml:space="preserve">docs_fixed</t>
  </si>
  <si>
    <t xml:space="preserve">https://github.com/langchain-ai/langchain/pull/28969</t>
  </si>
  <si>
    <t xml:space="preserve">2024-12-06 00:27:30+00:00</t>
  </si>
  <si>
    <t xml:space="preserve">2024-12-06 00:32:47+00:00</t>
  </si>
  <si>
    <t xml:space="preserve">erick/cli-create-specific-files-from-template</t>
  </si>
  <si>
    <t xml:space="preserve">https://github.com/langchain-ai/langchain/pull/28556</t>
  </si>
  <si>
    <t xml:space="preserve">2024-11-18 10:17:51+00:00</t>
  </si>
  <si>
    <t xml:space="preserve">2024-12-19 17:06:22+00:00</t>
  </si>
  <si>
    <t xml:space="preserve">https://github.com/langchain-ai/langchain/pull/28177</t>
  </si>
  <si>
    <t xml:space="preserve">2024-10-11 15:26:41+00:00</t>
  </si>
  <si>
    <t xml:space="preserve">2024-12-12 02:42:49+00:00</t>
  </si>
  <si>
    <t xml:space="preserve">obvec</t>
  </si>
  <si>
    <t xml:space="preserve">https://github.com/langchain-ai/langchain/pull/27271</t>
  </si>
  <si>
    <t xml:space="preserve">2024-07-24 17:09:15+00:00</t>
  </si>
  <si>
    <t xml:space="preserve">2024-07-27 00:39:58+00:00</t>
  </si>
  <si>
    <t xml:space="preserve">isaac/langchainollamaimageinput</t>
  </si>
  <si>
    <t xml:space="preserve">https://github.com/langchain-ai/langchain/pull/24619</t>
  </si>
  <si>
    <t xml:space="preserve">2024-07-19 15:59:15+00:00</t>
  </si>
  <si>
    <t xml:space="preserve">2024-07-19 17:58:43+00:00</t>
  </si>
  <si>
    <t xml:space="preserve">bagatur/ruff_0_5_3</t>
  </si>
  <si>
    <t xml:space="preserve">https://github.com/langchain-ai/langchain/pull/24448</t>
  </si>
  <si>
    <t xml:space="preserve">2024-05-29 08:40:55+00:00</t>
  </si>
  <si>
    <t xml:space="preserve">2024-05-29 20:12:05+00:00</t>
  </si>
  <si>
    <t xml:space="preserve">enhance/integration_doc</t>
  </si>
  <si>
    <t xml:space="preserve">https://github.com/langchain-ai/langchain/pull/22265</t>
  </si>
  <si>
    <t xml:space="preserve">2024-04-29 18:19:40+00:00</t>
  </si>
  <si>
    <t xml:space="preserve">2024-04-29 20:27:58+00:00</t>
  </si>
  <si>
    <t xml:space="preserve">cc/docs_updates</t>
  </si>
  <si>
    <t xml:space="preserve">https://github.com/langchain-ai/langchain/pull/21039</t>
  </si>
  <si>
    <t xml:space="preserve">2024-04-24 17:16:47+00:00</t>
  </si>
  <si>
    <t xml:space="preserve">2024-04-24 17:41:19+00:00</t>
  </si>
  <si>
    <t xml:space="preserve">bagatur/contribution_note</t>
  </si>
  <si>
    <t xml:space="preserve">https://github.com/langchain-ai/langchain/pull/20843</t>
  </si>
  <si>
    <t xml:space="preserve">2024-03-11 20:44:52+00:00</t>
  </si>
  <si>
    <t xml:space="preserve">2024-03-11 21:23:12+00:00</t>
  </si>
  <si>
    <t xml:space="preserve">brace/swap-gtag-supabase</t>
  </si>
  <si>
    <t xml:space="preserve">https://github.com/langchain-ai/langchain/pull/18937</t>
  </si>
  <si>
    <t xml:space="preserve">2024-03-06 13:25:49+00:00</t>
  </si>
  <si>
    <t xml:space="preserve">2024-03-06 14:15:36+00:00</t>
  </si>
  <si>
    <t xml:space="preserve">lazy-load-sitemap</t>
  </si>
  <si>
    <t xml:space="preserve">https://github.com/langchain-ai/langchain/pull/18667</t>
  </si>
  <si>
    <t xml:space="preserve">2024-02-09 03:04:28+00:00</t>
  </si>
  <si>
    <t xml:space="preserve">2024-02-09 03:09:27+00:00</t>
  </si>
  <si>
    <t xml:space="preserve">erick/templates-simplify-tool-in-gemini-functions-agent</t>
  </si>
  <si>
    <t xml:space="preserve">https://github.com/langchain-ai/langchain/pull/17282</t>
  </si>
  <si>
    <t xml:space="preserve">2024-01-18 16:06:03+00:00</t>
  </si>
  <si>
    <t xml:space="preserve">2024-01-18 16:30:53+00:00</t>
  </si>
  <si>
    <t xml:space="preserve">eugene/add_fake_chat_model</t>
  </si>
  <si>
    <t xml:space="preserve">https://github.com/langchain-ai/langchain/pull/16209</t>
  </si>
  <si>
    <t xml:space="preserve">2024-01-05 16:20:44+00:00</t>
  </si>
  <si>
    <t xml:space="preserve">2024-01-25 19:03:05+00:00</t>
  </si>
  <si>
    <t xml:space="preserve">users/bburgin/chat-litellm-router</t>
  </si>
  <si>
    <t xml:space="preserve">https://github.com/langchain-ai/langchain/pull/15588</t>
  </si>
  <si>
    <t xml:space="preserve">2023-12-12 16:29:04+00:00</t>
  </si>
  <si>
    <t xml:space="preserve">2024-01-03 01:18:33+00:00</t>
  </si>
  <si>
    <t xml:space="preserve">issue_14583</t>
  </si>
  <si>
    <t xml:space="preserve">https://github.com/langchain-ai/langchain/pull/14604</t>
  </si>
  <si>
    <t xml:space="preserve">2023-11-25 08:15:25+00:00</t>
  </si>
  <si>
    <t xml:space="preserve">2023-11-27 07:59:53+00:00</t>
  </si>
  <si>
    <t xml:space="preserve">onenote_document_loader</t>
  </si>
  <si>
    <t xml:space="preserve">https://github.com/langchain-ai/langchain/pull/13841</t>
  </si>
  <si>
    <t xml:space="preserve">2023-11-18 14:19:07+00:00</t>
  </si>
  <si>
    <t xml:space="preserve">2023-12-05 04:27:55+00:00</t>
  </si>
  <si>
    <t xml:space="preserve">migrate-openai-audio-api</t>
  </si>
  <si>
    <t xml:space="preserve">https://github.com/langchain-ai/langchain/pull/13557</t>
  </si>
  <si>
    <t xml:space="preserve">2023-11-16 23:29:14+00:00</t>
  </si>
  <si>
    <t xml:space="preserve">2023-11-17 01:51:49+00:00</t>
  </si>
  <si>
    <t xml:space="preserve">docs-integrations-vectorstores-cleanup</t>
  </si>
  <si>
    <t xml:space="preserve">https://github.com/langchain-ai/langchain/pull/13487</t>
  </si>
  <si>
    <t xml:space="preserve">2023-10-25 17:16:59+00:00</t>
  </si>
  <si>
    <t xml:space="preserve">2023-10-25 18:06:58+00:00</t>
  </si>
  <si>
    <t xml:space="preserve">erick/cli</t>
  </si>
  <si>
    <t xml:space="preserve">https://github.com/langchain-ai/langchain/pull/12284</t>
  </si>
  <si>
    <t xml:space="preserve">2023-10-19 01:30:36+00:00</t>
  </si>
  <si>
    <t xml:space="preserve">2023-10-19 06:33:09+00:00</t>
  </si>
  <si>
    <t xml:space="preserve">wfh/fireworks_fix</t>
  </si>
  <si>
    <t xml:space="preserve">https://github.com/langchain-ai/langchain/pull/12003</t>
  </si>
  <si>
    <t xml:space="preserve">2023-10-10 02:13:02+00:00</t>
  </si>
  <si>
    <t xml:space="preserve">2023-10-11 19:06:42+00:00</t>
  </si>
  <si>
    <t xml:space="preserve">eugene/add_type</t>
  </si>
  <si>
    <t xml:space="preserve">https://github.com/langchain-ai/langchain/pull/11585</t>
  </si>
  <si>
    <t xml:space="preserve">2023-08-25 12:50:21+00:00</t>
  </si>
  <si>
    <t xml:space="preserve">2023-09-19 23:29:52+00:00</t>
  </si>
  <si>
    <t xml:space="preserve">mw/synthetic-data</t>
  </si>
  <si>
    <t xml:space="preserve">https://github.com/langchain-ai/langchain/pull/9759</t>
  </si>
  <si>
    <t xml:space="preserve">2023-08-14 11:11:02+00:00</t>
  </si>
  <si>
    <t xml:space="preserve">2023-08-14 11:57:45+00:00</t>
  </si>
  <si>
    <t xml:space="preserve">docs_fix</t>
  </si>
  <si>
    <t xml:space="preserve">https://github.com/langchain-ai/langchain/pull/9196</t>
  </si>
  <si>
    <t xml:space="preserve">2023-07-26 05:27:25+00:00</t>
  </si>
  <si>
    <t xml:space="preserve">2023-09-20 03:28:06+00:00</t>
  </si>
  <si>
    <t xml:space="preserve">azure_search_extra_fields</t>
  </si>
  <si>
    <t xml:space="preserve">https://github.com/langchain-ai/langchain/pull/8268</t>
  </si>
  <si>
    <t xml:space="preserve">2023-07-07 18:30:42+00:00</t>
  </si>
  <si>
    <t xml:space="preserve">2023-07-07 20:27:45+00:00</t>
  </si>
  <si>
    <t xml:space="preserve">harrison/add-to-imports</t>
  </si>
  <si>
    <t xml:space="preserve">https://github.com/langchain-ai/langchain/pull/7370</t>
  </si>
  <si>
    <t xml:space="preserve">2023-06-19 03:45:15+00:00</t>
  </si>
  <si>
    <t xml:space="preserve">2023-06-20 05:20:36+00:00</t>
  </si>
  <si>
    <t xml:space="preserve">bugfix/invalid-anthropic-api-url-env-setting</t>
  </si>
  <si>
    <t xml:space="preserve">https://github.com/langchain-ai/langchain/pull/6400</t>
  </si>
  <si>
    <t xml:space="preserve">2023-05-16 19:46:44+00:00</t>
  </si>
  <si>
    <t xml:space="preserve">2023-05-16 20:04:09+00:00</t>
  </si>
  <si>
    <t xml:space="preserve">vwp/name_change</t>
  </si>
  <si>
    <t xml:space="preserve">https://github.com/langchain-ai/langchain/pull/4811</t>
  </si>
  <si>
    <t xml:space="preserve">2023-05-15 21:47:04+00:00</t>
  </si>
  <si>
    <t xml:space="preserve">2023-05-19 03:30:38+00:00</t>
  </si>
  <si>
    <t xml:space="preserve">snowflake_syntax</t>
  </si>
  <si>
    <t xml:space="preserve">https://github.com/langchain-ai/langchain/pull/4747</t>
  </si>
  <si>
    <t xml:space="preserve">2023-05-14 02:38:12+00:00</t>
  </si>
  <si>
    <t xml:space="preserve">2023-05-14 04:46:02+00:00</t>
  </si>
  <si>
    <t xml:space="preserve">harrison/multithreading-directory-loader</t>
  </si>
  <si>
    <t xml:space="preserve">https://github.com/langchain-ai/langchain/pull/4650</t>
  </si>
  <si>
    <t xml:space="preserve">2023-04-29 03:49:41+00:00</t>
  </si>
  <si>
    <t xml:space="preserve">2023-04-29 03:59:57+00:00</t>
  </si>
  <si>
    <t xml:space="preserve">harrison/reddit</t>
  </si>
  <si>
    <t xml:space="preserve">https://github.com/langchain-ai/langchain/pull/3768</t>
  </si>
  <si>
    <t xml:space="preserve">2023-03-28 20:02:10+00:00</t>
  </si>
  <si>
    <t xml:space="preserve">2023-03-28 20:07:05+00:00</t>
  </si>
  <si>
    <t xml:space="preserve">llms/ai21-default-j2</t>
  </si>
  <si>
    <t xml:space="preserve">https://github.com/langchain-ai/langchain/pull/2108</t>
  </si>
  <si>
    <t xml:space="preserve">2023-02-22 22:17:20+00:00</t>
  </si>
  <si>
    <t xml:space="preserve">2023-02-24 15:23:26+00:00</t>
  </si>
  <si>
    <t xml:space="preserve">prateek/add_log_probs</t>
  </si>
  <si>
    <t xml:space="preserve">https://github.com/langchain-ai/langchain/pull/1238</t>
  </si>
  <si>
    <t xml:space="preserve">2023-02-04 22:49:23+00:00</t>
  </si>
  <si>
    <t xml:space="preserve">2023-02-05 01:04:58+00:00</t>
  </si>
  <si>
    <t xml:space="preserve">harrison/prompt-template-from-string</t>
  </si>
  <si>
    <t xml:space="preserve">https://github.com/langchain-ai/langchain/pull/884</t>
  </si>
  <si>
    <t xml:space="preserve">microsoft/PowerToys</t>
  </si>
  <si>
    <t xml:space="preserve">2026-04-29 07:35:51+00:00</t>
  </si>
  <si>
    <t xml:space="preserve">2026-05-13 06:20:21+00:00</t>
  </si>
  <si>
    <t xml:space="preserve">copilot/fix-korean-translation-error</t>
  </si>
  <si>
    <t xml:space="preserve">https://github.com/microsoft/PowerToys/pull/47352</t>
  </si>
  <si>
    <t xml:space="preserve">2026-04-11 09:11:56+00:00</t>
  </si>
  <si>
    <t xml:space="preserve">2026-04-11 11:17:05+00:00</t>
  </si>
  <si>
    <t xml:space="preserve">niels9001/carousel</t>
  </si>
  <si>
    <t xml:space="preserve">https://github.com/microsoft/PowerToys/pull/46894</t>
  </si>
  <si>
    <t xml:space="preserve">2026-01-07 06:00:34+00:00</t>
  </si>
  <si>
    <t xml:space="preserve">2026-01-19 02:11:58+00:00</t>
  </si>
  <si>
    <t xml:space="preserve">dev/vanzue/skill-for-release-generation</t>
  </si>
  <si>
    <t xml:space="preserve">https://github.com/microsoft/PowerToys/pull/44577</t>
  </si>
  <si>
    <r>
      <rPr>
        <sz val="10"/>
        <rFont val="Arial"/>
        <family val="2"/>
      </rPr>
      <t xml:space="preserve">The author uses coding agents to generate skill files in </t>
    </r>
    <r>
      <rPr>
        <sz val="10"/>
        <color rgb="FF0000FF"/>
        <rFont val="Arial"/>
        <family val="2"/>
      </rPr>
      <t xml:space="preserve">other repositories</t>
    </r>
    <r>
      <rPr>
        <sz val="10"/>
        <rFont val="Arial"/>
        <family val="2"/>
      </rPr>
      <t xml:space="preserve">.</t>
    </r>
  </si>
  <si>
    <t xml:space="preserve">2025-07-23 11:50:30+00:00</t>
  </si>
  <si>
    <t xml:space="preserve">2025-07-29 01:03:50+00:00</t>
  </si>
  <si>
    <t xml:space="preserve">dev/migrie/f/run-with-files-2</t>
  </si>
  <si>
    <t xml:space="preserve">https://github.com/microsoft/PowerToys/pull/40768</t>
  </si>
  <si>
    <t xml:space="preserve">2025-01-22 17:52:41+00:00</t>
  </si>
  <si>
    <t xml:space="preserve">2025-01-22 18:49:31+00:00</t>
  </si>
  <si>
    <t xml:space="preserve">stefan/fix_36028</t>
  </si>
  <si>
    <t xml:space="preserve">https://github.com/microsoft/PowerToys/pull/37015</t>
  </si>
  <si>
    <t xml:space="preserve">2024-12-04 19:27:11+00:00</t>
  </si>
  <si>
    <t xml:space="preserve">2024-12-05 15:24:06+00:00</t>
  </si>
  <si>
    <t xml:space="preserve">workspaces-pwa-follow-up</t>
  </si>
  <si>
    <t xml:space="preserve">https://github.com/microsoft/PowerToys/pull/36217</t>
  </si>
  <si>
    <t xml:space="preserve">2023-09-21 10:41:05+00:00</t>
  </si>
  <si>
    <t xml:space="preserve">2023-09-21 14:18:22+00:00</t>
  </si>
  <si>
    <t xml:space="preserve">upgrade-wasdk-1.4.1</t>
  </si>
  <si>
    <t xml:space="preserve">https://github.com/microsoft/PowerToys/pull/28676</t>
  </si>
  <si>
    <t xml:space="preserve">2022-01-16 12:18:45+00:00</t>
  </si>
  <si>
    <t xml:space="preserve">2022-01-24 18:12:49+00:00</t>
  </si>
  <si>
    <t xml:space="preserve">pedrolamas/gcode-thumbnails-transparent</t>
  </si>
  <si>
    <t xml:space="preserve">https://github.com/microsoft/PowerToys/pull/15575</t>
  </si>
  <si>
    <t xml:space="preserve">2021-09-28 11:35:05+00:00</t>
  </si>
  <si>
    <t xml:space="preserve">2021-09-30 11:29:06+00:00</t>
  </si>
  <si>
    <t xml:space="preserve">devdocs_for_msix</t>
  </si>
  <si>
    <t xml:space="preserve">https://github.com/microsoft/PowerToys/pull/13489</t>
  </si>
  <si>
    <t xml:space="preserve">2021-03-08 06:15:35+00:00</t>
  </si>
  <si>
    <t xml:space="preserve">2021-03-08 10:56:49+00:00</t>
  </si>
  <si>
    <t xml:space="preserve">https://github.com/microsoft/PowerToys/pull/10107</t>
  </si>
  <si>
    <t xml:space="preserve">2020-11-19 20:32:12+00:00</t>
  </si>
  <si>
    <t xml:space="preserve">2020-11-21 00:36:43+00:00</t>
  </si>
  <si>
    <t xml:space="preserve">dll-sign</t>
  </si>
  <si>
    <t xml:space="preserve">https://github.com/microsoft/PowerToys/pull/8145</t>
  </si>
  <si>
    <t xml:space="preserve">2020-09-26 17:16:32+00:00</t>
  </si>
  <si>
    <t xml:space="preserve">2020-09-30 17:05:24+00:00</t>
  </si>
  <si>
    <t xml:space="preserve">stefan/fix_6734</t>
  </si>
  <si>
    <t xml:space="preserve">https://github.com/microsoft/PowerToys/pull/6848</t>
  </si>
  <si>
    <t xml:space="preserve">2020-09-25 19:45:02+00:00</t>
  </si>
  <si>
    <t xml:space="preserve">2020-09-25 20:59:15+00:00</t>
  </si>
  <si>
    <t xml:space="preserve">user/arbalgov/fixupgrade</t>
  </si>
  <si>
    <t xml:space="preserve">https://github.com/microsoft/PowerToys/pull/6839</t>
  </si>
  <si>
    <t xml:space="preserve">2020-05-20 02:00:48+00:00</t>
  </si>
  <si>
    <t xml:space="preserve">2020-06-01 21:55:04+00:00</t>
  </si>
  <si>
    <t xml:space="preserve">interns/users/t-ansokh/readme</t>
  </si>
  <si>
    <t xml:space="preserve">https://github.com/microsoft/PowerToys/pull/3256</t>
  </si>
  <si>
    <t xml:space="preserve">2020-02-12 19:51:14+00:00</t>
  </si>
  <si>
    <t xml:space="preserve">2020-02-12 19:51:48+00:00</t>
  </si>
  <si>
    <t xml:space="preserve">user/lamotile/add_powerlauncher_project</t>
  </si>
  <si>
    <t xml:space="preserve">https://github.com/microsoft/PowerToys/pull/1286</t>
  </si>
  <si>
    <t xml:space="preserve">microsoft/vscode</t>
  </si>
  <si>
    <t xml:space="preserve">2026-05-08 09:25:28+00:00</t>
  </si>
  <si>
    <t xml:space="preserve">2026-05-08 10:07:28+00:00</t>
  </si>
  <si>
    <t xml:space="preserve">chrmarti/just-clam</t>
  </si>
  <si>
    <t xml:space="preserve">https://github.com/microsoft/vscode/pull/315217</t>
  </si>
  <si>
    <t xml:space="preserve">2026-05-07 16:36:23+00:00</t>
  </si>
  <si>
    <t xml:space="preserve">fix/memory-leak-chat-input-part</t>
  </si>
  <si>
    <t xml:space="preserve">https://github.com/microsoft/vscode/pull/315042</t>
  </si>
  <si>
    <t xml:space="preserve">2026-05-06 05:10:01+00:00</t>
  </si>
  <si>
    <t xml:space="preserve">don/following-woodpecker</t>
  </si>
  <si>
    <t xml:space="preserve">https://github.com/microsoft/vscode/pull/314643</t>
  </si>
  <si>
    <t xml:space="preserve">2026-04-01 03:23:20+00:00</t>
  </si>
  <si>
    <t xml:space="preserve">2026-04-01 15:49:46+00:00</t>
  </si>
  <si>
    <t xml:space="preserve">roblou/uninterested-finch</t>
  </si>
  <si>
    <t xml:space="preserve">https://github.com/microsoft/vscode/pull/307007</t>
  </si>
  <si>
    <t xml:space="preserve">2026-03-11 19:47:58+00:00</t>
  </si>
  <si>
    <t xml:space="preserve">2026-03-12 00:55:31+00:00</t>
  </si>
  <si>
    <t xml:space="preserve">jp/back-limpet</t>
  </si>
  <si>
    <t xml:space="preserve">https://github.com/microsoft/vscode/pull/300897</t>
  </si>
  <si>
    <t xml:space="preserve">2026-03-05 01:32:48+00:00</t>
  </si>
  <si>
    <t xml:space="preserve">2026-03-06 05:46:46+00:00</t>
  </si>
  <si>
    <t xml:space="preserve">dependabot/npm_and_yarn/build/npm/gyp/tar-7.5.10</t>
  </si>
  <si>
    <t xml:space="preserve">https://github.com/microsoft/vscode/pull/299352</t>
  </si>
  <si>
    <t xml:space="preserve">GitHub Dependabot is not an LLM-based coding agent.</t>
  </si>
  <si>
    <t xml:space="preserve">2026-03-03 17:07:23+00:00</t>
  </si>
  <si>
    <t xml:space="preserve">2026-03-03 17:41:50+00:00</t>
  </si>
  <si>
    <t xml:space="preserve">ben/afraid-bird</t>
  </si>
  <si>
    <t xml:space="preserve">https://github.com/microsoft/vscode/pull/299008</t>
  </si>
  <si>
    <t xml:space="preserve">2026-03-03 10:12:22+00:00</t>
  </si>
  <si>
    <t xml:space="preserve">2026-03-03 16:49:54+00:00</t>
  </si>
  <si>
    <t xml:space="preserve">robo/fix_dmg_space_issue_1_110</t>
  </si>
  <si>
    <t xml:space="preserve">https://github.com/microsoft/vscode/pull/298921</t>
  </si>
  <si>
    <t xml:space="preserve">2026-03-01 08:39:01+00:00</t>
  </si>
  <si>
    <t xml:space="preserve">fix/extensions-disable-button-tooltip</t>
  </si>
  <si>
    <t xml:space="preserve">https://github.com/microsoft/vscode/pull/298546</t>
  </si>
  <si>
    <t xml:space="preserve">2026-02-20 18:24:28+00:00</t>
  </si>
  <si>
    <t xml:space="preserve">2026-02-20 21:12:34+00:00</t>
  </si>
  <si>
    <t xml:space="preserve">anthonykim1/rectangle+placementXterm</t>
  </si>
  <si>
    <t xml:space="preserve">https://github.com/microsoft/vscode/pull/296577</t>
  </si>
  <si>
    <t xml:space="preserve">2026-01-14 21:33:26+00:00</t>
  </si>
  <si>
    <t xml:space="preserve">2026-01-14 21:54:53+00:00</t>
  </si>
  <si>
    <t xml:space="preserve">james-branch</t>
  </si>
  <si>
    <t xml:space="preserve">https://github.com/microsoft/vscode/pull/287887</t>
  </si>
  <si>
    <t xml:space="preserve">2026-01-08 05:59:40+00:00</t>
  </si>
  <si>
    <t xml:space="preserve">2026-01-09 06:07:37+00:00</t>
  </si>
  <si>
    <t xml:space="preserve">ben/broken-termite</t>
  </si>
  <si>
    <t xml:space="preserve">https://github.com/microsoft/vscode/pull/286484</t>
  </si>
  <si>
    <t xml:space="preserve">2026-01-06 05:46:15+00:00</t>
  </si>
  <si>
    <t xml:space="preserve">2026-01-06 06:05:08+00:00</t>
  </si>
  <si>
    <t xml:space="preserve">ben/involved-cougar</t>
  </si>
  <si>
    <t xml:space="preserve">https://github.com/microsoft/vscode/pull/286053</t>
  </si>
  <si>
    <t xml:space="preserve">2025-12-16 13:39:43+00:00</t>
  </si>
  <si>
    <t xml:space="preserve">2025-12-16 14:07:28+00:00</t>
  </si>
  <si>
    <t xml:space="preserve">joao/teal-rhinoceros</t>
  </si>
  <si>
    <t xml:space="preserve">https://github.com/microsoft/vscode/pull/283813</t>
  </si>
  <si>
    <t xml:space="preserve">2025-12-08 23:49:29+00:00</t>
  </si>
  <si>
    <t xml:space="preserve">2025-12-09 01:02:16+00:00</t>
  </si>
  <si>
    <t xml:space="preserve">osortega/fix-multi-diff-stats-cloud</t>
  </si>
  <si>
    <t xml:space="preserve">https://github.com/microsoft/vscode/pull/282092</t>
  </si>
  <si>
    <t xml:space="preserve">2025-12-08 20:26:35+00:00</t>
  </si>
  <si>
    <t xml:space="preserve">2025-12-08 21:56:47+00:00</t>
  </si>
  <si>
    <t xml:space="preserve">connor4312/edits-delegation-cp</t>
  </si>
  <si>
    <t xml:space="preserve">https://github.com/microsoft/vscode/pull/282063</t>
  </si>
  <si>
    <t xml:space="preserve">2025-11-18 11:01:41+00:00</t>
  </si>
  <si>
    <t xml:space="preserve">fix-notebook-layout</t>
  </si>
  <si>
    <t xml:space="preserve">https://github.com/microsoft/vscode/pull/278056</t>
  </si>
  <si>
    <t xml:space="preserve">2025-11-14 19:22:53+00:00</t>
  </si>
  <si>
    <t xml:space="preserve">2025-11-27 05:15:12+00:00</t>
  </si>
  <si>
    <t xml:space="preserve">dev/dmitriv/glob-watchers</t>
  </si>
  <si>
    <t xml:space="preserve">https://github.com/microsoft/vscode/pull/277501</t>
  </si>
  <si>
    <t xml:space="preserve">2025-11-09 19:59:10+00:00</t>
  </si>
  <si>
    <t xml:space="preserve">2025-11-10 03:02:15+00:00</t>
  </si>
  <si>
    <t xml:space="preserve">don/fixed-peacock</t>
  </si>
  <si>
    <t xml:space="preserve">https://github.com/microsoft/vscode/pull/276388</t>
  </si>
  <si>
    <t xml:space="preserve">2025-11-07 00:40:26+00:00</t>
  </si>
  <si>
    <t xml:space="preserve">2025-11-07 02:12:35+00:00</t>
  </si>
  <si>
    <t xml:space="preserve">roblou/direct-skunk</t>
  </si>
  <si>
    <t xml:space="preserve">https://github.com/microsoft/vscode/pull/275971</t>
  </si>
  <si>
    <t xml:space="preserve">2025-11-06 23:00:59+00:00</t>
  </si>
  <si>
    <t xml:space="preserve">2025-11-13 17:28:11+00:00</t>
  </si>
  <si>
    <t xml:space="preserve">copilot/update-docs-providefilesearchresults</t>
  </si>
  <si>
    <t xml:space="preserve">https://github.com/microsoft/vscode/pull/275956</t>
  </si>
  <si>
    <t xml:space="preserve">2025-11-06 14:25:18+00:00</t>
  </si>
  <si>
    <t xml:space="preserve">2025-11-07 19:00:45+00:00</t>
  </si>
  <si>
    <t xml:space="preserve">tyriar/275828</t>
  </si>
  <si>
    <t xml:space="preserve">https://github.com/microsoft/vscode/pull/275836</t>
  </si>
  <si>
    <t xml:space="preserve">2025-11-04 00:11:10+00:00</t>
  </si>
  <si>
    <t xml:space="preserve">2025-11-04 00:54:37+00:00</t>
  </si>
  <si>
    <t xml:space="preserve">connor4312/262332</t>
  </si>
  <si>
    <t xml:space="preserve">https://github.com/microsoft/vscode/pull/274927</t>
  </si>
  <si>
    <t xml:space="preserve">2025-10-20 21:09:33+00:00</t>
  </si>
  <si>
    <t xml:space="preserve">fix/prevent-terminal-auto-reveal-when-closed</t>
  </si>
  <si>
    <t xml:space="preserve">https://github.com/microsoft/vscode/pull/272351</t>
  </si>
  <si>
    <t xml:space="preserve">2025-09-22 20:45:43+00:00</t>
  </si>
  <si>
    <t xml:space="preserve">2025-09-22 21:53:44+00:00</t>
  </si>
  <si>
    <t xml:space="preserve">merogge/revert-pr</t>
  </si>
  <si>
    <t xml:space="preserve">https://github.com/microsoft/vscode/pull/267851</t>
  </si>
  <si>
    <t xml:space="preserve">2025-08-22 09:59:59+00:00</t>
  </si>
  <si>
    <t xml:space="preserve">2025-08-22 10:17:02+00:00</t>
  </si>
  <si>
    <t xml:space="preserve">ben/mean-prawn</t>
  </si>
  <si>
    <t xml:space="preserve">https://github.com/microsoft/vscode/pull/262878</t>
  </si>
  <si>
    <t xml:space="preserve">2025-08-12 13:26:33+00:00</t>
  </si>
  <si>
    <t xml:space="preserve">2026-05-15 22:55:01+00:00</t>
  </si>
  <si>
    <t xml:space="preserve">feature/quick-file-type-filter</t>
  </si>
  <si>
    <t xml:space="preserve">https://github.com/microsoft/vscode/pull/261231</t>
  </si>
  <si>
    <t xml:space="preserve">2025-07-21 18:19:43+00:00</t>
  </si>
  <si>
    <t xml:space="preserve">2025-07-21 18:46:08+00:00</t>
  </si>
  <si>
    <t xml:space="preserve">suspicious-cattle</t>
  </si>
  <si>
    <t xml:space="preserve">https://github.com/microsoft/vscode/pull/257139</t>
  </si>
  <si>
    <t xml:space="preserve">2025-07-02 10:43:18+00:00</t>
  </si>
  <si>
    <t xml:space="preserve">2025-07-02 10:59:01+00:00</t>
  </si>
  <si>
    <t xml:space="preserve">alexr00/issue253315</t>
  </si>
  <si>
    <t xml:space="preserve">https://github.com/microsoft/vscode/pull/253623</t>
  </si>
  <si>
    <t xml:space="preserve">2025-07-02 01:10:07+00:00</t>
  </si>
  <si>
    <t xml:space="preserve">2025-07-02 01:27:08+00:00</t>
  </si>
  <si>
    <t xml:space="preserve">dev/bhavyau/walkthrough</t>
  </si>
  <si>
    <t xml:space="preserve">https://github.com/microsoft/vscode/pull/253533</t>
  </si>
  <si>
    <t xml:space="preserve">2025-06-27 07:45:50+00:00</t>
  </si>
  <si>
    <t xml:space="preserve">2025-06-27 08:05:32+00:00</t>
  </si>
  <si>
    <t xml:space="preserve">ben/working-salamander</t>
  </si>
  <si>
    <t xml:space="preserve">https://github.com/microsoft/vscode/pull/252603</t>
  </si>
  <si>
    <t xml:space="preserve">2025-06-05 15:08:32+00:00</t>
  </si>
  <si>
    <t xml:space="preserve">2025-06-30 14:54:19+00:00</t>
  </si>
  <si>
    <t xml:space="preserve">dependabot/npm_and_yarn/remote/tar-fs-2.1.3</t>
  </si>
  <si>
    <t xml:space="preserve">https://github.com/microsoft/vscode/pull/250753</t>
  </si>
  <si>
    <t xml:space="preserve">2025-05-06 14:20:35+00:00</t>
  </si>
  <si>
    <t xml:space="preserve">2025-05-07 07:00:26+00:00</t>
  </si>
  <si>
    <t xml:space="preserve">joh/sympathetic-condor</t>
  </si>
  <si>
    <t xml:space="preserve">https://github.com/microsoft/vscode/pull/248218</t>
  </si>
  <si>
    <t xml:space="preserve">2025-04-30 14:28:44+00:00</t>
  </si>
  <si>
    <t xml:space="preserve">2025-04-30 14:47:06+00:00</t>
  </si>
  <si>
    <t xml:space="preserve">aeschli/human-cow-454</t>
  </si>
  <si>
    <t xml:space="preserve">https://github.com/microsoft/vscode/pull/247852</t>
  </si>
  <si>
    <t xml:space="preserve">2025-04-15 11:36:50+00:00</t>
  </si>
  <si>
    <t xml:space="preserve">2025-04-15 12:24:41+00:00</t>
  </si>
  <si>
    <t xml:space="preserve">benibenj/aware-hamster</t>
  </si>
  <si>
    <t xml:space="preserve">https://github.com/microsoft/vscode/pull/246611</t>
  </si>
  <si>
    <t xml:space="preserve">Copilot-generated description</t>
  </si>
  <si>
    <t xml:space="preserve">2025-02-24 23:10:31+00:00</t>
  </si>
  <si>
    <t xml:space="preserve">2025-02-24 23:35:34+00:00</t>
  </si>
  <si>
    <t xml:space="preserve">connor4312/issue240127</t>
  </si>
  <si>
    <t xml:space="preserve">https://github.com/microsoft/vscode/pull/241780</t>
  </si>
  <si>
    <t xml:space="preserve">2025-02-12 23:17:45+00:00</t>
  </si>
  <si>
    <t xml:space="preserve">2025-02-12 23:33:17+00:00</t>
  </si>
  <si>
    <t xml:space="preserve">lszomoru/git-diagnostics-commit-hook-v2</t>
  </si>
  <si>
    <t xml:space="preserve">https://github.com/microsoft/vscode/pull/240590</t>
  </si>
  <si>
    <t xml:space="preserve">2025-02-03 19:04:31+00:00</t>
  </si>
  <si>
    <t xml:space="preserve">2025-02-03 22:37:15+00:00</t>
  </si>
  <si>
    <t xml:space="preserve">tyler/due-gayal</t>
  </si>
  <si>
    <t xml:space="preserve">https://github.com/microsoft/vscode/pull/239522</t>
  </si>
  <si>
    <t xml:space="preserve">2025-01-27 09:19:15+00:00</t>
  </si>
  <si>
    <t xml:space="preserve">2025-01-27 09:35:39+00:00</t>
  </si>
  <si>
    <t xml:space="preserve">joh/immediate-scorpion</t>
  </si>
  <si>
    <t xml:space="preserve">https://github.com/microsoft/vscode/pull/238826</t>
  </si>
  <si>
    <t xml:space="preserve">2025-01-13 16:28:25+00:00</t>
  </si>
  <si>
    <t xml:space="preserve">2025-01-13 16:44:27+00:00</t>
  </si>
  <si>
    <t xml:space="preserve">merogge/completions</t>
  </si>
  <si>
    <t xml:space="preserve">https://github.com/microsoft/vscode/pull/237817</t>
  </si>
  <si>
    <t xml:space="preserve">2025-01-04 14:37:28+00:00</t>
  </si>
  <si>
    <t xml:space="preserve">2025-01-04 18:15:36+00:00</t>
  </si>
  <si>
    <t xml:space="preserve">lszomoru/melted-sturgeon</t>
  </si>
  <si>
    <t xml:space="preserve">https://github.com/microsoft/vscode/pull/237257</t>
  </si>
  <si>
    <t xml:space="preserve">2024-12-18 20:02:33+00:00</t>
  </si>
  <si>
    <t xml:space="preserve">2024-12-18 21:40:30+00:00</t>
  </si>
  <si>
    <t xml:space="preserve">merogge/terminal-aria</t>
  </si>
  <si>
    <t xml:space="preserve">https://github.com/microsoft/vscode/pull/236516</t>
  </si>
  <si>
    <t xml:space="preserve">2024-11-12 11:24:26+00:00</t>
  </si>
  <si>
    <t xml:space="preserve">2024-11-12 11:40:36+00:00</t>
  </si>
  <si>
    <t xml:space="preserve">robo/add_eol_macos_10_15</t>
  </si>
  <si>
    <t xml:space="preserve">https://github.com/microsoft/vscode/pull/233670</t>
  </si>
  <si>
    <t xml:space="preserve">2024-10-29 23:59:07+00:00</t>
  </si>
  <si>
    <t xml:space="preserve">2024-11-19 21:04:34+00:00</t>
  </si>
  <si>
    <t xml:space="preserve">https://github.com/microsoft/vscode/pull/232542</t>
  </si>
  <si>
    <t xml:space="preserve">2024-10-04 20:29:58+00:00</t>
  </si>
  <si>
    <t xml:space="preserve">2024-10-04 20:44:39+00:00</t>
  </si>
  <si>
    <t xml:space="preserve">dev/joyceerhl/objective-koala</t>
  </si>
  <si>
    <t xml:space="preserve">https://github.com/microsoft/vscode/pull/230543</t>
  </si>
  <si>
    <t xml:space="preserve">2024-09-25 21:32:34+00:00</t>
  </si>
  <si>
    <t xml:space="preserve">2024-09-25 22:04:29+00:00</t>
  </si>
  <si>
    <t xml:space="preserve">dreadful-leopard</t>
  </si>
  <si>
    <t xml:space="preserve">https://github.com/microsoft/vscode/pull/229765</t>
  </si>
  <si>
    <t xml:space="preserve">2024-09-11 18:04:30+00:00</t>
  </si>
  <si>
    <t xml:space="preserve">2024-09-12 17:45:52+00:00</t>
  </si>
  <si>
    <t xml:space="preserve">tyriar/228146</t>
  </si>
  <si>
    <t xml:space="preserve">https://github.com/microsoft/vscode/pull/228266</t>
  </si>
  <si>
    <t xml:space="preserve">2024-07-19 23:31:28+00:00</t>
  </si>
  <si>
    <t xml:space="preserve">2024-07-22 17:52:40+00:00</t>
  </si>
  <si>
    <t xml:space="preserve">connor4312/test-related-code-2</t>
  </si>
  <si>
    <t xml:space="preserve">https://github.com/microsoft/vscode/pull/222252</t>
  </si>
  <si>
    <t xml:space="preserve">2024-06-18 22:41:42+00:00</t>
  </si>
  <si>
    <t xml:space="preserve">2024-06-18 22:58:04+00:00</t>
  </si>
  <si>
    <t xml:space="preserve">roblou/inherent-condor</t>
  </si>
  <si>
    <t xml:space="preserve">https://github.com/microsoft/vscode/pull/216557</t>
  </si>
  <si>
    <t xml:space="preserve">2024-05-24 14:32:04+00:00</t>
  </si>
  <si>
    <t xml:space="preserve">2024-05-24 14:50:41+00:00</t>
  </si>
  <si>
    <t xml:space="preserve">joh/inevitable-aphid</t>
  </si>
  <si>
    <t xml:space="preserve">https://github.com/microsoft/vscode/pull/213396</t>
  </si>
  <si>
    <t xml:space="preserve">2024-05-16 12:38:29+00:00</t>
  </si>
  <si>
    <t xml:space="preserve">2024-05-16 14:29:57+00:00</t>
  </si>
  <si>
    <t xml:space="preserve">ben/sour-constrictor</t>
  </si>
  <si>
    <t xml:space="preserve">https://github.com/microsoft/vscode/pull/212886</t>
  </si>
  <si>
    <t xml:space="preserve">2024-03-13 10:20:46+00:00</t>
  </si>
  <si>
    <t xml:space="preserve">2024-03-13 10:39:35+00:00</t>
  </si>
  <si>
    <t xml:space="preserve">joh/protective-meerkat</t>
  </si>
  <si>
    <t xml:space="preserve">https://github.com/microsoft/vscode/pull/207564</t>
  </si>
  <si>
    <t xml:space="preserve">2024-02-29 20:33:34+00:00</t>
  </si>
  <si>
    <t xml:space="preserve">2024-03-03 23:51:16+00:00</t>
  </si>
  <si>
    <t xml:space="preserve">merogge/speech-to-text</t>
  </si>
  <si>
    <t xml:space="preserve">https://github.com/microsoft/vscode/pull/206562</t>
  </si>
  <si>
    <t xml:space="preserve">2024-02-01 17:17:47+00:00</t>
  </si>
  <si>
    <t xml:space="preserve">2024-02-01 18:21:25+00:00</t>
  </si>
  <si>
    <t xml:space="preserve">rebornix/preliminary-unicorn</t>
  </si>
  <si>
    <t xml:space="preserve">https://github.com/microsoft/vscode/pull/203991</t>
  </si>
  <si>
    <t xml:space="preserve">2024-01-09 11:14:24+00:00</t>
  </si>
  <si>
    <t xml:space="preserve">2024-01-09 11:28:20+00:00</t>
  </si>
  <si>
    <t xml:space="preserve">alexr00/tunnelFactoryProtocolOption</t>
  </si>
  <si>
    <t xml:space="preserve">https://github.com/microsoft/vscode/pull/202067</t>
  </si>
  <si>
    <t xml:space="preserve">2023-12-04 20:35:06+00:00</t>
  </si>
  <si>
    <t xml:space="preserve">2023-12-04 23:01:29+00:00</t>
  </si>
  <si>
    <t xml:space="preserve">merogge/grooming-label</t>
  </si>
  <si>
    <t xml:space="preserve">https://github.com/microsoft/vscode/pull/199983</t>
  </si>
  <si>
    <t xml:space="preserve">2023-12-03 20:35:23+00:00</t>
  </si>
  <si>
    <t xml:space="preserve">2023-12-04 08:45:04+00:00</t>
  </si>
  <si>
    <t xml:space="preserve">sandy081/developing-swordfish</t>
  </si>
  <si>
    <t xml:space="preserve">https://github.com/microsoft/vscode/pull/199902</t>
  </si>
  <si>
    <t xml:space="preserve">2023-12-01 22:11:05+00:00</t>
  </si>
  <si>
    <t xml:space="preserve">2023-12-03 02:59:34+00:00</t>
  </si>
  <si>
    <t xml:space="preserve">build/enable-suggestions</t>
  </si>
  <si>
    <t xml:space="preserve">https://github.com/microsoft/vscode/pull/199821</t>
  </si>
  <si>
    <t xml:space="preserve">2023-11-23 15:13:40+00:00</t>
  </si>
  <si>
    <t xml:space="preserve">2023-11-23 15:27:51+00:00</t>
  </si>
  <si>
    <t xml:space="preserve">sandy081/qualified-tiger</t>
  </si>
  <si>
    <t xml:space="preserve">https://github.com/microsoft/vscode/pull/198946</t>
  </si>
  <si>
    <t xml:space="preserve">2023-11-09 18:30:32+00:00</t>
  </si>
  <si>
    <t xml:space="preserve">2023-11-09 18:54:16+00:00</t>
  </si>
  <si>
    <t xml:space="preserve">merogge/show-task-log</t>
  </si>
  <si>
    <t xml:space="preserve">https://github.com/microsoft/vscode/pull/197847</t>
  </si>
  <si>
    <t xml:space="preserve">2023-11-06 18:53:18+00:00</t>
  </si>
  <si>
    <t xml:space="preserve">2023-11-06 19:16:10+00:00</t>
  </si>
  <si>
    <t xml:space="preserve">dev/bhavyau/release-version</t>
  </si>
  <si>
    <t xml:space="preserve">https://github.com/microsoft/vscode/pull/197579</t>
  </si>
  <si>
    <t xml:space="preserve">2023-10-22 06:02:26+00:00</t>
  </si>
  <si>
    <t xml:space="preserve">2023-10-22 10:37:41+00:00</t>
  </si>
  <si>
    <t xml:space="preserve">ben/urban-gibbon</t>
  </si>
  <si>
    <t xml:space="preserve">https://github.com/microsoft/vscode/pull/196190</t>
  </si>
  <si>
    <t xml:space="preserve">2023-09-22 10:04:32+00:00</t>
  </si>
  <si>
    <t xml:space="preserve">2023-09-22 10:55:32+00:00</t>
  </si>
  <si>
    <t xml:space="preserve">alexr00/issue193716</t>
  </si>
  <si>
    <t xml:space="preserve">https://github.com/microsoft/vscode/pull/193788</t>
  </si>
  <si>
    <t xml:space="preserve">2023-08-31 14:49:34+00:00</t>
  </si>
  <si>
    <t xml:space="preserve">2023-08-31 16:44:38+00:00</t>
  </si>
  <si>
    <t xml:space="preserve">merogge/windows-command-start</t>
  </si>
  <si>
    <t xml:space="preserve">https://github.com/microsoft/vscode/pull/191912</t>
  </si>
  <si>
    <t xml:space="preserve">2023-08-17 07:52:36+00:00</t>
  </si>
  <si>
    <t xml:space="preserve">2023-08-23 10:28:25+00:00</t>
  </si>
  <si>
    <t xml:space="preserve">ulugbekna/insert-at-cursor-api</t>
  </si>
  <si>
    <t xml:space="preserve">https://github.com/microsoft/vscode/pull/190649</t>
  </si>
  <si>
    <t xml:space="preserve">2023-08-17 07:45:27+00:00</t>
  </si>
  <si>
    <t xml:space="preserve">2023-08-23 11:07:22+00:00</t>
  </si>
  <si>
    <t xml:space="preserve">bug/fix-hidden-extension-editor-description</t>
  </si>
  <si>
    <t xml:space="preserve">https://github.com/microsoft/vscode/pull/190648</t>
  </si>
  <si>
    <t xml:space="preserve">2023-07-31 19:41:34+00:00</t>
  </si>
  <si>
    <t xml:space="preserve">2023-07-31 21:02:44+00:00</t>
  </si>
  <si>
    <t xml:space="preserve">hediet/b/formidable-mammal</t>
  </si>
  <si>
    <t xml:space="preserve">https://github.com/microsoft/vscode/pull/189349</t>
  </si>
  <si>
    <t xml:space="preserve">2023-07-11 14:43:16+00:00</t>
  </si>
  <si>
    <t xml:space="preserve">2023-07-26 07:27:49+00:00</t>
  </si>
  <si>
    <t xml:space="preserve">aiday/resizeColorPickerPresentation</t>
  </si>
  <si>
    <t xml:space="preserve">https://github.com/microsoft/vscode/pull/187592</t>
  </si>
  <si>
    <t xml:space="preserve">2023-06-22 08:57:03+00:00</t>
  </si>
  <si>
    <t xml:space="preserve">2023-06-22 13:28:11+00:00</t>
  </si>
  <si>
    <t xml:space="preserve">alexr00/issue116141</t>
  </si>
  <si>
    <t xml:space="preserve">https://github.com/microsoft/vscode/pull/185846</t>
  </si>
  <si>
    <t xml:space="preserve">2023-05-03 14:17:37+00:00</t>
  </si>
  <si>
    <t xml:space="preserve">2023-05-03 17:12:25+00:00</t>
  </si>
  <si>
    <t xml:space="preserve">merogge/disp-term</t>
  </si>
  <si>
    <t xml:space="preserve">https://github.com/microsoft/vscode/pull/181412</t>
  </si>
  <si>
    <t xml:space="preserve">2023-04-26 01:36:04+00:00</t>
  </si>
  <si>
    <t xml:space="preserve">2023-04-26 20:37:23+00:00</t>
  </si>
  <si>
    <t xml:space="preserve">kartik/updatestatus</t>
  </si>
  <si>
    <t xml:space="preserve">https://github.com/microsoft/vscode/pull/180903</t>
  </si>
  <si>
    <t xml:space="preserve">2023-04-24 22:48:06+00:00</t>
  </si>
  <si>
    <t xml:space="preserve">2023-04-25 01:48:02+00:00</t>
  </si>
  <si>
    <t xml:space="preserve">connor4312/issue180760</t>
  </si>
  <si>
    <t xml:space="preserve">https://github.com/microsoft/vscode/pull/180763</t>
  </si>
  <si>
    <t xml:space="preserve">2023-03-23 16:10:59+00:00</t>
  </si>
  <si>
    <t xml:space="preserve">2023-03-23 16:34:12+00:00</t>
  </si>
  <si>
    <t xml:space="preserve">joh/urban-panther</t>
  </si>
  <si>
    <t xml:space="preserve">https://github.com/microsoft/vscode/pull/178148</t>
  </si>
  <si>
    <t xml:space="preserve">2023-03-02 00:33:29+00:00</t>
  </si>
  <si>
    <t xml:space="preserve">2023-03-02 01:04:38+00:00</t>
  </si>
  <si>
    <t xml:space="preserve">rebornix/changing-marmot</t>
  </si>
  <si>
    <t xml:space="preserve">https://github.com/microsoft/vscode/pull/175820</t>
  </si>
  <si>
    <t xml:space="preserve">2023-01-26 02:50:06+00:00</t>
  </si>
  <si>
    <t xml:space="preserve">2023-01-26 03:04:13+00:00</t>
  </si>
  <si>
    <t xml:space="preserve">tyler/loyal-marmot</t>
  </si>
  <si>
    <t xml:space="preserve">https://github.com/microsoft/vscode/pull/172491</t>
  </si>
  <si>
    <t xml:space="preserve">2023-01-10 14:32:50+00:00</t>
  </si>
  <si>
    <t xml:space="preserve">2023-01-10 14:48:49+00:00</t>
  </si>
  <si>
    <t xml:space="preserve">tyriar/typo</t>
  </si>
  <si>
    <t xml:space="preserve">https://github.com/microsoft/vscode/pull/170968</t>
  </si>
  <si>
    <t xml:space="preserve">2022-12-10 09:03:40+00:00</t>
  </si>
  <si>
    <t xml:space="preserve">another-try-to-fix-167146</t>
  </si>
  <si>
    <t xml:space="preserve">https://github.com/microsoft/vscode/pull/168707</t>
  </si>
  <si>
    <t xml:space="preserve">2022-11-18 23:40:39+00:00</t>
  </si>
  <si>
    <t xml:space="preserve">2022-11-19 00:24:21+00:00</t>
  </si>
  <si>
    <t xml:space="preserve">dev/joyceerhl/repulsive-hare</t>
  </si>
  <si>
    <t xml:space="preserve">https://github.com/microsoft/vscode/pull/166764</t>
  </si>
  <si>
    <t xml:space="preserve">2022-11-03 23:57:40+00:00</t>
  </si>
  <si>
    <t xml:space="preserve">2022-11-04 01:59:22+00:00</t>
  </si>
  <si>
    <t xml:space="preserve">hostile-swordfish</t>
  </si>
  <si>
    <t xml:space="preserve">https://github.com/microsoft/vscode/pull/165446</t>
  </si>
  <si>
    <t xml:space="preserve">2022-09-21 12:06:46+00:00</t>
  </si>
  <si>
    <t xml:space="preserve">2022-09-21 12:23:07+00:00</t>
  </si>
  <si>
    <t xml:space="preserve">benibenj/moveCheckboxes</t>
  </si>
  <si>
    <t xml:space="preserve">https://github.com/microsoft/vscode/pull/161393</t>
  </si>
  <si>
    <t xml:space="preserve">2022-08-29 22:11:45+00:00</t>
  </si>
  <si>
    <t xml:space="preserve">2022-09-02 14:31:17+00:00</t>
  </si>
  <si>
    <t xml:space="preserve">dev/joyceerhl/new-firefly</t>
  </si>
  <si>
    <t xml:space="preserve">https://github.com/microsoft/vscode/pull/159505</t>
  </si>
  <si>
    <t xml:space="preserve">2022-06-28 22:35:38+00:00</t>
  </si>
  <si>
    <t xml:space="preserve">2022-07-11 20:30:16+00:00</t>
  </si>
  <si>
    <t xml:space="preserve">jzyrobert/explorer_expand_all</t>
  </si>
  <si>
    <t xml:space="preserve">https://github.com/microsoft/vscode/pull/153614</t>
  </si>
  <si>
    <t xml:space="preserve">2021-05-12 07:29:43+00:00</t>
  </si>
  <si>
    <t xml:space="preserve">2021-05-12 08:13:16+00:00</t>
  </si>
  <si>
    <t xml:space="preserve">alexr00/issue123333</t>
  </si>
  <si>
    <t xml:space="preserve">https://github.com/microsoft/vscode/pull/123644</t>
  </si>
  <si>
    <t xml:space="preserve">2021-03-29 21:56:21+00:00</t>
  </si>
  <si>
    <t xml:space="preserve">2021-03-30 02:21:26+00:00</t>
  </si>
  <si>
    <t xml:space="preserve">merogge/hover</t>
  </si>
  <si>
    <t xml:space="preserve">https://github.com/microsoft/vscode/pull/120134</t>
  </si>
  <si>
    <t xml:space="preserve">2021-03-26 17:31:30+00:00</t>
  </si>
  <si>
    <t xml:space="preserve">2021-03-26 20:41:08+00:00</t>
  </si>
  <si>
    <t xml:space="preserve">eamodio/remove-remote-hub</t>
  </si>
  <si>
    <t xml:space="preserve">https://github.com/microsoft/vscode/pull/119972</t>
  </si>
  <si>
    <t xml:space="preserve">2020-04-05 22:04:47+00:00</t>
  </si>
  <si>
    <t xml:space="preserve">2020-04-06 16:02:30+00:00</t>
  </si>
  <si>
    <t xml:space="preserve">aeschli/alwaysReportImpExeBasedRec</t>
  </si>
  <si>
    <t xml:space="preserve">https://github.com/microsoft/vscode/pull/94486</t>
  </si>
  <si>
    <t xml:space="preserve">2020-01-03 13:10:59+00:00</t>
  </si>
  <si>
    <t xml:space="preserve">2020-01-03 13:11:06+00:00</t>
  </si>
  <si>
    <t xml:space="preserve">idb-storage</t>
  </si>
  <si>
    <t xml:space="preserve">https://github.com/microsoft/vscode/pull/88040</t>
  </si>
  <si>
    <t xml:space="preserve">2019-11-13 19:59:04+00:00</t>
  </si>
  <si>
    <t xml:space="preserve">2019-11-15 22:13:15+00:00</t>
  </si>
  <si>
    <t xml:space="preserve">rebornix/viewportevent</t>
  </si>
  <si>
    <t xml:space="preserve">https://github.com/microsoft/vscode/pull/84733</t>
  </si>
  <si>
    <t xml:space="preserve">2019-10-31 20:54:59+00:00</t>
  </si>
  <si>
    <t xml:space="preserve">2019-10-31 20:55:30+00:00</t>
  </si>
  <si>
    <t xml:space="preserve">tyriar/integration_test</t>
  </si>
  <si>
    <t xml:space="preserve">https://github.com/microsoft/vscode/pull/83788</t>
  </si>
  <si>
    <t xml:space="preserve">2019-09-04 22:31:11+00:00</t>
  </si>
  <si>
    <t xml:space="preserve">2019-09-06 06:59:56+00:00</t>
  </si>
  <si>
    <t xml:space="preserve">candidate</t>
  </si>
  <si>
    <t xml:space="preserve">https://github.com/microsoft/vscode/pull/80340</t>
  </si>
  <si>
    <t xml:space="preserve">2019-06-14 23:34:19+00:00</t>
  </si>
  <si>
    <t xml:space="preserve">2019-06-14 23:35:17+00:00</t>
  </si>
  <si>
    <t xml:space="preserve">iframe-webview</t>
  </si>
  <si>
    <t xml:space="preserve">https://github.com/microsoft/vscode/pull/75546</t>
  </si>
  <si>
    <t xml:space="preserve">2019-03-11 18:53:29+00:00</t>
  </si>
  <si>
    <t xml:space="preserve">2019-03-11 20:05:21+00:00</t>
  </si>
  <si>
    <t xml:space="preserve">fixes-70113</t>
  </si>
  <si>
    <t xml:space="preserve">https://github.com/microsoft/vscode/pull/70244</t>
  </si>
  <si>
    <t xml:space="preserve">2019-02-13 00:32:09+00:00</t>
  </si>
  <si>
    <t xml:space="preserve">2019-02-18 11:17:47+00:00</t>
  </si>
  <si>
    <t xml:space="preserve">https://github.com/microsoft/vscode/pull/68578</t>
  </si>
  <si>
    <t xml:space="preserve">2018-11-06 20:40:09+00:00</t>
  </si>
  <si>
    <t xml:space="preserve">2018-11-07 07:55:26+00:00</t>
  </si>
  <si>
    <t xml:space="preserve">https://github.com/microsoft/vscode/pull/62678</t>
  </si>
  <si>
    <t xml:space="preserve">2018-10-07 06:24:45+00:00</t>
  </si>
  <si>
    <t xml:space="preserve">2018-10-29 19:13:44+00:00</t>
  </si>
  <si>
    <t xml:space="preserve">fix/59323-long-delay-filtering-problems</t>
  </si>
  <si>
    <t xml:space="preserve">https://github.com/microsoft/vscode/pull/60080</t>
  </si>
  <si>
    <t xml:space="preserve">2018-06-09 04:10:50+00:00</t>
  </si>
  <si>
    <t xml:space="preserve">2018-06-11 08:37:31+00:00</t>
  </si>
  <si>
    <t xml:space="preserve">https://github.com/microsoft/vscode/pull/51511</t>
  </si>
  <si>
    <t xml:space="preserve">2018-04-20 15:25:07+00:00</t>
  </si>
  <si>
    <t xml:space="preserve">2018-06-08 16:32:50+00:00</t>
  </si>
  <si>
    <t xml:space="preserve">electron-2.0.x</t>
  </si>
  <si>
    <t xml:space="preserve">https://github.com/microsoft/vscode/pull/48290</t>
  </si>
  <si>
    <t xml:space="preserve">2018-02-09 20:00:02+00:00</t>
  </si>
  <si>
    <t xml:space="preserve">2018-02-15 01:08:44+00:00</t>
  </si>
  <si>
    <t xml:space="preserve">extraspaces</t>
  </si>
  <si>
    <t xml:space="preserve">https://github.com/microsoft/vscode/pull/43345</t>
  </si>
  <si>
    <t xml:space="preserve">2017-09-07 21:01:48+00:00</t>
  </si>
  <si>
    <t xml:space="preserve">2017-09-13 15:09:32+00:00</t>
  </si>
  <si>
    <t xml:space="preserve">https://github.com/microsoft/vscode/pull/33963</t>
  </si>
  <si>
    <t xml:space="preserve">2017-06-15 20:04:50+00:00</t>
  </si>
  <si>
    <t xml:space="preserve">2017-06-18 04:37:58+00:00</t>
  </si>
  <si>
    <t xml:space="preserve">#28617</t>
  </si>
  <si>
    <t xml:space="preserve">https://github.com/microsoft/vscode/pull/28840</t>
  </si>
  <si>
    <t xml:space="preserve">2016-08-08 16:31:18+00:00</t>
  </si>
  <si>
    <t xml:space="preserve">2016-08-16 14:06:19+00:00</t>
  </si>
  <si>
    <t xml:space="preserve">ie-show-fix</t>
  </si>
  <si>
    <t xml:space="preserve">https://github.com/microsoft/vscode/pull/10309</t>
  </si>
  <si>
    <t xml:space="preserve">2016-06-22 19:50:52+00:00</t>
  </si>
  <si>
    <t xml:space="preserve">2016-06-23 07:05:00+00:00</t>
  </si>
  <si>
    <t xml:space="preserve">treat-web-app-manifest-files-as-json</t>
  </si>
  <si>
    <t xml:space="preserve">https://github.com/microsoft/vscode/pull/8019</t>
  </si>
  <si>
    <t xml:space="preserve">Agent-generated:</t>
  </si>
  <si>
    <t xml:space="preserve">A PR is considered agent-generated if an LLM-based coding agent was used to generate any changes in any commit included in the PR’s latest revision (at the time of collection). This includes changes that were generated using a coding agent and subsequently edited by a person. We intentionally exclude other uses of LLMs, such as explaining or reviewing code.</t>
  </si>
  <si>
    <t xml:space="preserve">Heuristic:</t>
  </si>
  <si>
    <t xml:space="preserve">A label produced by our code, based on branch names and commit author metadata</t>
  </si>
  <si>
    <t xml:space="preserve">Manual:</t>
  </si>
  <si>
    <t xml:space="preserve">A label produced via manual inspection; we don’t call these labels “ground truth” because we cannot always determine if/how someone used a coding agent.</t>
  </si>
  <si>
    <t xml:space="preserve">Agent</t>
  </si>
  <si>
    <t xml:space="preserve">Non-agent</t>
  </si>
  <si>
    <t xml:space="preserve">Treating manual labels as if they were ground-truth:</t>
  </si>
  <si>
    <t xml:space="preserve">All</t>
  </si>
  <si>
    <t xml:space="preserve">Correct</t>
  </si>
  <si>
    <t xml:space="preserve">Precision</t>
  </si>
  <si>
    <t xml:space="preserve">Recall</t>
  </si>
  <si>
    <t xml:space="preserve">Accuracy</t>
  </si>
  <si>
    <r>
      <rPr>
        <u val="single"/>
        <sz val="10"/>
        <rFont val="Arial"/>
        <family val="2"/>
      </rPr>
      <t xml:space="preserve">Treating heuristic and manual labels equally (</t>
    </r>
    <r>
      <rPr>
        <u val="single"/>
        <sz val="10"/>
        <color rgb="FF0000FF"/>
        <rFont val="Arial"/>
        <family val="2"/>
      </rPr>
      <t xml:space="preserve">Cohen’s κ</t>
    </r>
    <r>
      <rPr>
        <u val="single"/>
        <sz val="10"/>
        <rFont val="Arial"/>
        <family val="2"/>
      </rPr>
      <t xml:space="preserve">):</t>
    </r>
  </si>
  <si>
    <r>
      <rPr>
        <b val="true"/>
        <i val="true"/>
        <sz val="10"/>
        <rFont val="Arial"/>
        <family val="2"/>
      </rPr>
      <t xml:space="preserve">p</t>
    </r>
    <r>
      <rPr>
        <b val="true"/>
        <i val="true"/>
        <vertAlign val="subscript"/>
        <sz val="10"/>
        <rFont val="Arial"/>
        <family val="2"/>
      </rPr>
      <t xml:space="preserve">o</t>
    </r>
  </si>
  <si>
    <r>
      <rPr>
        <b val="true"/>
        <i val="true"/>
        <sz val="10"/>
        <rFont val="Arial"/>
        <family val="2"/>
      </rPr>
      <t xml:space="preserve">p</t>
    </r>
    <r>
      <rPr>
        <b val="true"/>
        <i val="true"/>
        <vertAlign val="subscript"/>
        <sz val="10"/>
        <rFont val="Arial"/>
        <family val="2"/>
      </rPr>
      <t xml:space="preserve">e</t>
    </r>
  </si>
  <si>
    <t xml:space="preserve">κ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</si>
</sst>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  <font>
      <u val="single"/>
      <sz val="10"/>
      <name val="Arial"/>
      <family val="2"/>
    </font>
    <font>
      <u val="single"/>
      <sz val="10"/>
      <color rgb="FF0000FF"/>
      <name val="Arial"/>
      <family val="2"/>
    </font>
    <font>
      <b val="true"/>
      <i val="true"/>
      <sz val="10"/>
      <name val="Arial"/>
      <family val="2"/>
    </font>
    <font>
      <b val="true"/>
      <i val="true"/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Genymobile/scrcpy/pull/5189" TargetMode="External"/><Relationship Id="rId2" Type="http://schemas.openxmlformats.org/officeDocument/2006/relationships/hyperlink" Target="https://github.com/Genymobile/scrcpy/pull/95" TargetMode="External"/><Relationship Id="rId3" Type="http://schemas.openxmlformats.org/officeDocument/2006/relationships/hyperlink" Target="https://github.com/ant-design/ant-design/pull/56578" TargetMode="External"/><Relationship Id="rId4" Type="http://schemas.openxmlformats.org/officeDocument/2006/relationships/hyperlink" Target="https://github.com/ant-design/ant-design/pull/55907" TargetMode="External"/><Relationship Id="rId5" Type="http://schemas.openxmlformats.org/officeDocument/2006/relationships/hyperlink" Target="https://github.com/ant-design/ant-design/pull/55425" TargetMode="External"/><Relationship Id="rId6" Type="http://schemas.openxmlformats.org/officeDocument/2006/relationships/hyperlink" Target="https://github.com/ant-design/ant-design/pull/54600" TargetMode="External"/><Relationship Id="rId7" Type="http://schemas.openxmlformats.org/officeDocument/2006/relationships/hyperlink" Target="https://github.com/ant-design/ant-design/pull/54062" TargetMode="External"/><Relationship Id="rId8" Type="http://schemas.openxmlformats.org/officeDocument/2006/relationships/hyperlink" Target="https://github.com/ant-design/ant-design/pull/51102" TargetMode="External"/><Relationship Id="rId9" Type="http://schemas.openxmlformats.org/officeDocument/2006/relationships/hyperlink" Target="https://github.com/ant-design/ant-design/pull/50993" TargetMode="External"/><Relationship Id="rId10" Type="http://schemas.openxmlformats.org/officeDocument/2006/relationships/hyperlink" Target="https://github.com/ant-design/ant-design/pull/50515" TargetMode="External"/><Relationship Id="rId11" Type="http://schemas.openxmlformats.org/officeDocument/2006/relationships/hyperlink" Target="https://github.com/ant-design/ant-design/pull/49029" TargetMode="External"/><Relationship Id="rId12" Type="http://schemas.openxmlformats.org/officeDocument/2006/relationships/hyperlink" Target="https://github.com/ant-design/ant-design/pull/48021" TargetMode="External"/><Relationship Id="rId13" Type="http://schemas.openxmlformats.org/officeDocument/2006/relationships/hyperlink" Target="https://github.com/ant-design/ant-design/pull/47745" TargetMode="External"/><Relationship Id="rId14" Type="http://schemas.openxmlformats.org/officeDocument/2006/relationships/hyperlink" Target="https://github.com/ant-design/ant-design/pull/45067" TargetMode="External"/><Relationship Id="rId15" Type="http://schemas.openxmlformats.org/officeDocument/2006/relationships/hyperlink" Target="https://ant.design/docs/react/contributing" TargetMode="External"/><Relationship Id="rId16" Type="http://schemas.openxmlformats.org/officeDocument/2006/relationships/hyperlink" Target="https://github.com/ant-design/ant-design/pull/44125" TargetMode="External"/><Relationship Id="rId17" Type="http://schemas.openxmlformats.org/officeDocument/2006/relationships/hyperlink" Target="https://github.com/ant-design/ant-design/pull/43872" TargetMode="External"/><Relationship Id="rId18" Type="http://schemas.openxmlformats.org/officeDocument/2006/relationships/hyperlink" Target="https://github.com/ant-design/ant-design/pull/41752" TargetMode="External"/><Relationship Id="rId19" Type="http://schemas.openxmlformats.org/officeDocument/2006/relationships/hyperlink" Target="https://github.com/ant-design/ant-design/pull/39689" TargetMode="External"/><Relationship Id="rId20" Type="http://schemas.openxmlformats.org/officeDocument/2006/relationships/hyperlink" Target="https://github.com/ant-design/ant-design/pull/38930" TargetMode="External"/><Relationship Id="rId21" Type="http://schemas.openxmlformats.org/officeDocument/2006/relationships/hyperlink" Target="https://github.com/ant-design/ant-design/pull/38631" TargetMode="External"/><Relationship Id="rId22" Type="http://schemas.openxmlformats.org/officeDocument/2006/relationships/hyperlink" Target="https://github.com/ant-design/ant-design/pull/38071" TargetMode="External"/><Relationship Id="rId23" Type="http://schemas.openxmlformats.org/officeDocument/2006/relationships/hyperlink" Target="https://github.com/ant-design/ant-design/pull/38048" TargetMode="External"/><Relationship Id="rId24" Type="http://schemas.openxmlformats.org/officeDocument/2006/relationships/hyperlink" Target="https://github.com/ant-design/ant-design/pull/36351" TargetMode="External"/><Relationship Id="rId25" Type="http://schemas.openxmlformats.org/officeDocument/2006/relationships/hyperlink" Target="https://ant.design/docs/react/contributing" TargetMode="External"/><Relationship Id="rId26" Type="http://schemas.openxmlformats.org/officeDocument/2006/relationships/hyperlink" Target="https://github.com/ant-design/ant-design/pull/35332" TargetMode="External"/><Relationship Id="rId27" Type="http://schemas.openxmlformats.org/officeDocument/2006/relationships/hyperlink" Target="https://github.com/ant-design/ant-design/pull/35269" TargetMode="External"/><Relationship Id="rId28" Type="http://schemas.openxmlformats.org/officeDocument/2006/relationships/hyperlink" Target="https://github.com/ant-design/ant-design/pull/33038" TargetMode="External"/><Relationship Id="rId29" Type="http://schemas.openxmlformats.org/officeDocument/2006/relationships/hyperlink" Target="https://ant.design/docs/react/contributing" TargetMode="External"/><Relationship Id="rId30" Type="http://schemas.openxmlformats.org/officeDocument/2006/relationships/hyperlink" Target="https://github.com/ant-design/ant-design/pull/27759" TargetMode="External"/><Relationship Id="rId31" Type="http://schemas.openxmlformats.org/officeDocument/2006/relationships/hyperlink" Target="https://github.com/ant-design/ant-design/pull/26255" TargetMode="External"/><Relationship Id="rId32" Type="http://schemas.openxmlformats.org/officeDocument/2006/relationships/hyperlink" Target="https://github.com/ant-design/ant-design/pull/26244" TargetMode="External"/><Relationship Id="rId33" Type="http://schemas.openxmlformats.org/officeDocument/2006/relationships/hyperlink" Target="https://github.com/ant-design/ant-design/pull/24143" TargetMode="External"/><Relationship Id="rId34" Type="http://schemas.openxmlformats.org/officeDocument/2006/relationships/hyperlink" Target="https://github.com/ant-design/ant-design/pull/22829" TargetMode="External"/><Relationship Id="rId35" Type="http://schemas.openxmlformats.org/officeDocument/2006/relationships/hyperlink" Target="https://github.com/ant-design/ant-design/pull/22052" TargetMode="External"/><Relationship Id="rId36" Type="http://schemas.openxmlformats.org/officeDocument/2006/relationships/hyperlink" Target="https://github.com/ant-design/ant-design/pull/18531" TargetMode="External"/><Relationship Id="rId37" Type="http://schemas.openxmlformats.org/officeDocument/2006/relationships/hyperlink" Target="https://github.com/ant-design/ant-design/pull/15283" TargetMode="External"/><Relationship Id="rId38" Type="http://schemas.openxmlformats.org/officeDocument/2006/relationships/hyperlink" Target="https://ant.design/docs/react/contributing" TargetMode="External"/><Relationship Id="rId39" Type="http://schemas.openxmlformats.org/officeDocument/2006/relationships/hyperlink" Target="https://github.com/ant-design/ant-design/pull/10934" TargetMode="External"/><Relationship Id="rId40" Type="http://schemas.openxmlformats.org/officeDocument/2006/relationships/hyperlink" Target="https://github.com/ant-design/ant-design/pull/7005" TargetMode="External"/><Relationship Id="rId41" Type="http://schemas.openxmlformats.org/officeDocument/2006/relationships/hyperlink" Target="https://github.com/ant-design/ant-design/pull/6296" TargetMode="External"/><Relationship Id="rId42" Type="http://schemas.openxmlformats.org/officeDocument/2006/relationships/hyperlink" Target="https://github.com/ant-design/ant-design/pull/4812" TargetMode="External"/><Relationship Id="rId43" Type="http://schemas.openxmlformats.org/officeDocument/2006/relationships/hyperlink" Target="https://github.com/ant-design/ant-design/pull/4436" TargetMode="External"/><Relationship Id="rId44" Type="http://schemas.openxmlformats.org/officeDocument/2006/relationships/hyperlink" Target="https://github.com/ant-design/ant-design/pull/3264" TargetMode="External"/><Relationship Id="rId45" Type="http://schemas.openxmlformats.org/officeDocument/2006/relationships/hyperlink" Target="https://github.com/ant-design/ant-design/pull/566" TargetMode="External"/><Relationship Id="rId46" Type="http://schemas.openxmlformats.org/officeDocument/2006/relationships/hyperlink" Target="https://github.com/ant-design/ant-design/pull/81" TargetMode="External"/><Relationship Id="rId47" Type="http://schemas.openxmlformats.org/officeDocument/2006/relationships/hyperlink" Target="https://github.com/langchain-ai/langchain/pull/36434" TargetMode="External"/><Relationship Id="rId48" Type="http://schemas.openxmlformats.org/officeDocument/2006/relationships/hyperlink" Target="https://github.com/langchain-ai/langchain/pull/35768" TargetMode="External"/><Relationship Id="rId49" Type="http://schemas.openxmlformats.org/officeDocument/2006/relationships/hyperlink" Target="https://github.com/langchain-ai/langchain/pull/35302" TargetMode="External"/><Relationship Id="rId50" Type="http://schemas.openxmlformats.org/officeDocument/2006/relationships/hyperlink" Target="https://github.com/langchain-ai/langchain/pull/34964" TargetMode="External"/><Relationship Id="rId51" Type="http://schemas.openxmlformats.org/officeDocument/2006/relationships/hyperlink" Target="https://github.com/langchain-ai/langchain/pull/34737" TargetMode="External"/><Relationship Id="rId52" Type="http://schemas.openxmlformats.org/officeDocument/2006/relationships/hyperlink" Target="https://github.com/langchain-ai/langchain/pull/33227" TargetMode="External"/><Relationship Id="rId53" Type="http://schemas.openxmlformats.org/officeDocument/2006/relationships/hyperlink" Target="https://github.com/langchain-ai/langchain/pull/29858" TargetMode="External"/><Relationship Id="rId54" Type="http://schemas.openxmlformats.org/officeDocument/2006/relationships/hyperlink" Target="https://github.com/langchain-ai/langchain/pull/29353" TargetMode="External"/><Relationship Id="rId55" Type="http://schemas.openxmlformats.org/officeDocument/2006/relationships/hyperlink" Target="https://docs.astral.sh/ruff/linter/" TargetMode="External"/><Relationship Id="rId56" Type="http://schemas.openxmlformats.org/officeDocument/2006/relationships/hyperlink" Target="https://github.com/langchain-ai/langchain/pull/28969" TargetMode="External"/><Relationship Id="rId57" Type="http://schemas.openxmlformats.org/officeDocument/2006/relationships/hyperlink" Target="https://github.com/langchain-ai/langchain/pull/28556" TargetMode="External"/><Relationship Id="rId58" Type="http://schemas.openxmlformats.org/officeDocument/2006/relationships/hyperlink" Target="https://github.com/langchain-ai/langchain/pull/28177" TargetMode="External"/><Relationship Id="rId59" Type="http://schemas.openxmlformats.org/officeDocument/2006/relationships/hyperlink" Target="https://github.com/langchain-ai/langchain/pull/27271" TargetMode="External"/><Relationship Id="rId60" Type="http://schemas.openxmlformats.org/officeDocument/2006/relationships/hyperlink" Target="https://github.com/langchain-ai/langchain/pull/24619" TargetMode="External"/><Relationship Id="rId61" Type="http://schemas.openxmlformats.org/officeDocument/2006/relationships/hyperlink" Target="https://github.com/langchain-ai/langchain/pull/24448" TargetMode="External"/><Relationship Id="rId62" Type="http://schemas.openxmlformats.org/officeDocument/2006/relationships/hyperlink" Target="https://github.com/langchain-ai/langchain/pull/22265" TargetMode="External"/><Relationship Id="rId63" Type="http://schemas.openxmlformats.org/officeDocument/2006/relationships/hyperlink" Target="https://github.com/langchain-ai/langchain/pull/21039" TargetMode="External"/><Relationship Id="rId64" Type="http://schemas.openxmlformats.org/officeDocument/2006/relationships/hyperlink" Target="https://github.com/langchain-ai/langchain/pull/20843" TargetMode="External"/><Relationship Id="rId65" Type="http://schemas.openxmlformats.org/officeDocument/2006/relationships/hyperlink" Target="https://github.com/langchain-ai/langchain/pull/18937" TargetMode="External"/><Relationship Id="rId66" Type="http://schemas.openxmlformats.org/officeDocument/2006/relationships/hyperlink" Target="https://github.com/langchain-ai/langchain/pull/18667" TargetMode="External"/><Relationship Id="rId67" Type="http://schemas.openxmlformats.org/officeDocument/2006/relationships/hyperlink" Target="https://github.com/langchain-ai/langchain/pull/17282" TargetMode="External"/><Relationship Id="rId68" Type="http://schemas.openxmlformats.org/officeDocument/2006/relationships/hyperlink" Target="https://github.com/langchain-ai/langchain/pull/16209" TargetMode="External"/><Relationship Id="rId69" Type="http://schemas.openxmlformats.org/officeDocument/2006/relationships/hyperlink" Target="https://github.com/langchain-ai/langchain/pull/15588" TargetMode="External"/><Relationship Id="rId70" Type="http://schemas.openxmlformats.org/officeDocument/2006/relationships/hyperlink" Target="https://github.com/langchain-ai/langchain/pull/14604" TargetMode="External"/><Relationship Id="rId71" Type="http://schemas.openxmlformats.org/officeDocument/2006/relationships/hyperlink" Target="https://github.com/langchain-ai/langchain/pull/13841" TargetMode="External"/><Relationship Id="rId72" Type="http://schemas.openxmlformats.org/officeDocument/2006/relationships/hyperlink" Target="https://github.com/langchain-ai/langchain/pull/13557" TargetMode="External"/><Relationship Id="rId73" Type="http://schemas.openxmlformats.org/officeDocument/2006/relationships/hyperlink" Target="https://github.com/langchain-ai/langchain/pull/13487" TargetMode="External"/><Relationship Id="rId74" Type="http://schemas.openxmlformats.org/officeDocument/2006/relationships/hyperlink" Target="https://github.com/langchain-ai/langchain/pull/12284" TargetMode="External"/><Relationship Id="rId75" Type="http://schemas.openxmlformats.org/officeDocument/2006/relationships/hyperlink" Target="https://github.com/langchain-ai/langchain/pull/12003" TargetMode="External"/><Relationship Id="rId76" Type="http://schemas.openxmlformats.org/officeDocument/2006/relationships/hyperlink" Target="https://github.com/langchain-ai/langchain/pull/11585" TargetMode="External"/><Relationship Id="rId77" Type="http://schemas.openxmlformats.org/officeDocument/2006/relationships/hyperlink" Target="https://github.com/langchain-ai/langchain/pull/9759" TargetMode="External"/><Relationship Id="rId78" Type="http://schemas.openxmlformats.org/officeDocument/2006/relationships/hyperlink" Target="https://github.com/langchain-ai/langchain/pull/9196" TargetMode="External"/><Relationship Id="rId79" Type="http://schemas.openxmlformats.org/officeDocument/2006/relationships/hyperlink" Target="https://github.com/langchain-ai/langchain/pull/8268" TargetMode="External"/><Relationship Id="rId80" Type="http://schemas.openxmlformats.org/officeDocument/2006/relationships/hyperlink" Target="https://github.com/langchain-ai/langchain/pull/7370" TargetMode="External"/><Relationship Id="rId81" Type="http://schemas.openxmlformats.org/officeDocument/2006/relationships/hyperlink" Target="https://github.com/langchain-ai/langchain/pull/6400" TargetMode="External"/><Relationship Id="rId82" Type="http://schemas.openxmlformats.org/officeDocument/2006/relationships/hyperlink" Target="https://github.com/langchain-ai/langchain/pull/4811" TargetMode="External"/><Relationship Id="rId83" Type="http://schemas.openxmlformats.org/officeDocument/2006/relationships/hyperlink" Target="https://github.com/langchain-ai/langchain/pull/4747" TargetMode="External"/><Relationship Id="rId84" Type="http://schemas.openxmlformats.org/officeDocument/2006/relationships/hyperlink" Target="https://github.com/langchain-ai/langchain/pull/4650" TargetMode="External"/><Relationship Id="rId85" Type="http://schemas.openxmlformats.org/officeDocument/2006/relationships/hyperlink" Target="https://github.com/langchain-ai/langchain/pull/3768" TargetMode="External"/><Relationship Id="rId86" Type="http://schemas.openxmlformats.org/officeDocument/2006/relationships/hyperlink" Target="https://github.com/langchain-ai/langchain/pull/2108" TargetMode="External"/><Relationship Id="rId87" Type="http://schemas.openxmlformats.org/officeDocument/2006/relationships/hyperlink" Target="https://github.com/langchain-ai/langchain/pull/1238" TargetMode="External"/><Relationship Id="rId88" Type="http://schemas.openxmlformats.org/officeDocument/2006/relationships/hyperlink" Target="https://github.com/langchain-ai/langchain/pull/884" TargetMode="External"/><Relationship Id="rId89" Type="http://schemas.openxmlformats.org/officeDocument/2006/relationships/hyperlink" Target="https://github.com/microsoft/PowerToys/pull/47352" TargetMode="External"/><Relationship Id="rId90" Type="http://schemas.openxmlformats.org/officeDocument/2006/relationships/hyperlink" Target="https://github.com/microsoft/PowerToys/pull/46894" TargetMode="External"/><Relationship Id="rId91" Type="http://schemas.openxmlformats.org/officeDocument/2006/relationships/hyperlink" Target="https://github.com/microsoft/PowerToys/pull/44577" TargetMode="External"/><Relationship Id="rId92" Type="http://schemas.openxmlformats.org/officeDocument/2006/relationships/hyperlink" Target="https://github.com/microsoft/intelligent-terminal/commit/2462b4c55" TargetMode="External"/><Relationship Id="rId93" Type="http://schemas.openxmlformats.org/officeDocument/2006/relationships/hyperlink" Target="https://github.com/microsoft/PowerToys/pull/40768" TargetMode="External"/><Relationship Id="rId94" Type="http://schemas.openxmlformats.org/officeDocument/2006/relationships/hyperlink" Target="https://github.com/microsoft/PowerToys/pull/37015" TargetMode="External"/><Relationship Id="rId95" Type="http://schemas.openxmlformats.org/officeDocument/2006/relationships/hyperlink" Target="https://github.com/microsoft/PowerToys/pull/36217" TargetMode="External"/><Relationship Id="rId96" Type="http://schemas.openxmlformats.org/officeDocument/2006/relationships/hyperlink" Target="https://github.com/microsoft/PowerToys/pull/28676" TargetMode="External"/><Relationship Id="rId97" Type="http://schemas.openxmlformats.org/officeDocument/2006/relationships/hyperlink" Target="https://github.com/microsoft/PowerToys/pull/15575" TargetMode="External"/><Relationship Id="rId98" Type="http://schemas.openxmlformats.org/officeDocument/2006/relationships/hyperlink" Target="https://github.com/microsoft/PowerToys/pull/13489" TargetMode="External"/><Relationship Id="rId99" Type="http://schemas.openxmlformats.org/officeDocument/2006/relationships/hyperlink" Target="https://github.com/microsoft/PowerToys/pull/10107" TargetMode="External"/><Relationship Id="rId100" Type="http://schemas.openxmlformats.org/officeDocument/2006/relationships/hyperlink" Target="https://github.com/microsoft/PowerToys/pull/8145" TargetMode="External"/><Relationship Id="rId101" Type="http://schemas.openxmlformats.org/officeDocument/2006/relationships/hyperlink" Target="https://github.com/microsoft/PowerToys/pull/6848" TargetMode="External"/><Relationship Id="rId102" Type="http://schemas.openxmlformats.org/officeDocument/2006/relationships/hyperlink" Target="https://github.com/microsoft/PowerToys/pull/6839" TargetMode="External"/><Relationship Id="rId103" Type="http://schemas.openxmlformats.org/officeDocument/2006/relationships/hyperlink" Target="https://github.com/microsoft/PowerToys/pull/3256" TargetMode="External"/><Relationship Id="rId104" Type="http://schemas.openxmlformats.org/officeDocument/2006/relationships/hyperlink" Target="https://github.com/microsoft/PowerToys/pull/1286" TargetMode="External"/><Relationship Id="rId105" Type="http://schemas.openxmlformats.org/officeDocument/2006/relationships/hyperlink" Target="https://github.com/microsoft/vscode/pull/315217" TargetMode="External"/><Relationship Id="rId106" Type="http://schemas.openxmlformats.org/officeDocument/2006/relationships/hyperlink" Target="https://github.com/microsoft/vscode/pull/315042" TargetMode="External"/><Relationship Id="rId107" Type="http://schemas.openxmlformats.org/officeDocument/2006/relationships/hyperlink" Target="https://github.com/microsoft/vscode/pull/314643" TargetMode="External"/><Relationship Id="rId108" Type="http://schemas.openxmlformats.org/officeDocument/2006/relationships/hyperlink" Target="https://github.com/microsoft/vscode/pull/307007" TargetMode="External"/><Relationship Id="rId109" Type="http://schemas.openxmlformats.org/officeDocument/2006/relationships/hyperlink" Target="https://github.com/microsoft/vscode/pull/300897" TargetMode="External"/><Relationship Id="rId110" Type="http://schemas.openxmlformats.org/officeDocument/2006/relationships/hyperlink" Target="https://github.com/microsoft/vscode/pull/299352" TargetMode="External"/><Relationship Id="rId111" Type="http://schemas.openxmlformats.org/officeDocument/2006/relationships/hyperlink" Target="https://github.com/microsoft/vscode/pull/299008" TargetMode="External"/><Relationship Id="rId112" Type="http://schemas.openxmlformats.org/officeDocument/2006/relationships/hyperlink" Target="https://github.com/microsoft/vscode/pull/298921" TargetMode="External"/><Relationship Id="rId113" Type="http://schemas.openxmlformats.org/officeDocument/2006/relationships/hyperlink" Target="https://github.com/microsoft/vscode/pull/298546" TargetMode="External"/><Relationship Id="rId114" Type="http://schemas.openxmlformats.org/officeDocument/2006/relationships/hyperlink" Target="https://github.com/microsoft/vscode/pull/296577" TargetMode="External"/><Relationship Id="rId115" Type="http://schemas.openxmlformats.org/officeDocument/2006/relationships/hyperlink" Target="https://github.com/microsoft/vscode/pull/287887" TargetMode="External"/><Relationship Id="rId116" Type="http://schemas.openxmlformats.org/officeDocument/2006/relationships/hyperlink" Target="https://github.com/microsoft/vscode/pull/286484" TargetMode="External"/><Relationship Id="rId117" Type="http://schemas.openxmlformats.org/officeDocument/2006/relationships/hyperlink" Target="https://github.com/microsoft/vscode/pull/286053" TargetMode="External"/><Relationship Id="rId118" Type="http://schemas.openxmlformats.org/officeDocument/2006/relationships/hyperlink" Target="https://github.com/microsoft/vscode/pull/283813" TargetMode="External"/><Relationship Id="rId119" Type="http://schemas.openxmlformats.org/officeDocument/2006/relationships/hyperlink" Target="https://github.com/microsoft/vscode/pull/282092" TargetMode="External"/><Relationship Id="rId120" Type="http://schemas.openxmlformats.org/officeDocument/2006/relationships/hyperlink" Target="https://github.com/microsoft/vscode/pull/282063" TargetMode="External"/><Relationship Id="rId121" Type="http://schemas.openxmlformats.org/officeDocument/2006/relationships/hyperlink" Target="https://github.com/microsoft/vscode/pull/278056" TargetMode="External"/><Relationship Id="rId122" Type="http://schemas.openxmlformats.org/officeDocument/2006/relationships/hyperlink" Target="https://github.com/microsoft/vscode/pull/277501" TargetMode="External"/><Relationship Id="rId123" Type="http://schemas.openxmlformats.org/officeDocument/2006/relationships/hyperlink" Target="https://github.com/microsoft/vscode/pull/276388" TargetMode="External"/><Relationship Id="rId124" Type="http://schemas.openxmlformats.org/officeDocument/2006/relationships/hyperlink" Target="https://github.com/microsoft/vscode/pull/275971" TargetMode="External"/><Relationship Id="rId125" Type="http://schemas.openxmlformats.org/officeDocument/2006/relationships/hyperlink" Target="https://github.com/microsoft/vscode/pull/275956" TargetMode="External"/><Relationship Id="rId126" Type="http://schemas.openxmlformats.org/officeDocument/2006/relationships/hyperlink" Target="https://github.com/microsoft/vscode/pull/275836" TargetMode="External"/><Relationship Id="rId127" Type="http://schemas.openxmlformats.org/officeDocument/2006/relationships/hyperlink" Target="https://github.com/microsoft/vscode/pull/274927" TargetMode="External"/><Relationship Id="rId128" Type="http://schemas.openxmlformats.org/officeDocument/2006/relationships/hyperlink" Target="https://github.com/microsoft/vscode/pull/272351" TargetMode="External"/><Relationship Id="rId129" Type="http://schemas.openxmlformats.org/officeDocument/2006/relationships/hyperlink" Target="https://github.com/microsoft/vscode/pull/267851" TargetMode="External"/><Relationship Id="rId130" Type="http://schemas.openxmlformats.org/officeDocument/2006/relationships/hyperlink" Target="https://github.com/microsoft/vscode/pull/262878" TargetMode="External"/><Relationship Id="rId131" Type="http://schemas.openxmlformats.org/officeDocument/2006/relationships/hyperlink" Target="https://github.com/microsoft/vscode/pull/261231" TargetMode="External"/><Relationship Id="rId132" Type="http://schemas.openxmlformats.org/officeDocument/2006/relationships/hyperlink" Target="https://github.com/microsoft/vscode/pull/257139" TargetMode="External"/><Relationship Id="rId133" Type="http://schemas.openxmlformats.org/officeDocument/2006/relationships/hyperlink" Target="https://github.com/microsoft/vscode/pull/253623" TargetMode="External"/><Relationship Id="rId134" Type="http://schemas.openxmlformats.org/officeDocument/2006/relationships/hyperlink" Target="https://github.com/microsoft/vscode/pull/253533" TargetMode="External"/><Relationship Id="rId135" Type="http://schemas.openxmlformats.org/officeDocument/2006/relationships/hyperlink" Target="https://github.com/microsoft/vscode/pull/252603" TargetMode="External"/><Relationship Id="rId136" Type="http://schemas.openxmlformats.org/officeDocument/2006/relationships/hyperlink" Target="https://github.com/microsoft/vscode/pull/250753" TargetMode="External"/><Relationship Id="rId137" Type="http://schemas.openxmlformats.org/officeDocument/2006/relationships/hyperlink" Target="https://github.com/microsoft/vscode/pull/248218" TargetMode="External"/><Relationship Id="rId138" Type="http://schemas.openxmlformats.org/officeDocument/2006/relationships/hyperlink" Target="https://github.com/microsoft/vscode/pull/247852" TargetMode="External"/><Relationship Id="rId139" Type="http://schemas.openxmlformats.org/officeDocument/2006/relationships/hyperlink" Target="https://github.com/microsoft/vscode/pull/246611" TargetMode="External"/><Relationship Id="rId140" Type="http://schemas.openxmlformats.org/officeDocument/2006/relationships/hyperlink" Target="https://github.com/microsoft/vscode/pull/241780" TargetMode="External"/><Relationship Id="rId141" Type="http://schemas.openxmlformats.org/officeDocument/2006/relationships/hyperlink" Target="https://github.com/microsoft/vscode/pull/240590" TargetMode="External"/><Relationship Id="rId142" Type="http://schemas.openxmlformats.org/officeDocument/2006/relationships/hyperlink" Target="https://github.com/microsoft/vscode/pull/239522" TargetMode="External"/><Relationship Id="rId143" Type="http://schemas.openxmlformats.org/officeDocument/2006/relationships/hyperlink" Target="https://github.com/microsoft/vscode/pull/238826" TargetMode="External"/><Relationship Id="rId144" Type="http://schemas.openxmlformats.org/officeDocument/2006/relationships/hyperlink" Target="https://github.com/microsoft/vscode/pull/237817" TargetMode="External"/><Relationship Id="rId145" Type="http://schemas.openxmlformats.org/officeDocument/2006/relationships/hyperlink" Target="https://github.com/microsoft/vscode/pull/237257" TargetMode="External"/><Relationship Id="rId146" Type="http://schemas.openxmlformats.org/officeDocument/2006/relationships/hyperlink" Target="https://github.com/microsoft/vscode/pull/236516" TargetMode="External"/><Relationship Id="rId147" Type="http://schemas.openxmlformats.org/officeDocument/2006/relationships/hyperlink" Target="https://github.com/microsoft/vscode/pull/233670" TargetMode="External"/><Relationship Id="rId148" Type="http://schemas.openxmlformats.org/officeDocument/2006/relationships/hyperlink" Target="https://github.com/microsoft/vscode/pull/232542" TargetMode="External"/><Relationship Id="rId149" Type="http://schemas.openxmlformats.org/officeDocument/2006/relationships/hyperlink" Target="https://github.com/microsoft/vscode/pull/230543" TargetMode="External"/><Relationship Id="rId150" Type="http://schemas.openxmlformats.org/officeDocument/2006/relationships/hyperlink" Target="https://github.com/microsoft/vscode/pull/229765" TargetMode="External"/><Relationship Id="rId151" Type="http://schemas.openxmlformats.org/officeDocument/2006/relationships/hyperlink" Target="https://github.com/microsoft/vscode/pull/228266" TargetMode="External"/><Relationship Id="rId152" Type="http://schemas.openxmlformats.org/officeDocument/2006/relationships/hyperlink" Target="https://github.com/microsoft/vscode/pull/222252" TargetMode="External"/><Relationship Id="rId153" Type="http://schemas.openxmlformats.org/officeDocument/2006/relationships/hyperlink" Target="https://github.com/microsoft/vscode/pull/216557" TargetMode="External"/><Relationship Id="rId154" Type="http://schemas.openxmlformats.org/officeDocument/2006/relationships/hyperlink" Target="https://github.com/microsoft/vscode/pull/213396" TargetMode="External"/><Relationship Id="rId155" Type="http://schemas.openxmlformats.org/officeDocument/2006/relationships/hyperlink" Target="https://github.com/microsoft/vscode/pull/212886" TargetMode="External"/><Relationship Id="rId156" Type="http://schemas.openxmlformats.org/officeDocument/2006/relationships/hyperlink" Target="https://github.com/microsoft/vscode/pull/207564" TargetMode="External"/><Relationship Id="rId157" Type="http://schemas.openxmlformats.org/officeDocument/2006/relationships/hyperlink" Target="https://github.com/microsoft/vscode/pull/206562" TargetMode="External"/><Relationship Id="rId158" Type="http://schemas.openxmlformats.org/officeDocument/2006/relationships/hyperlink" Target="https://github.com/microsoft/vscode/pull/203991" TargetMode="External"/><Relationship Id="rId159" Type="http://schemas.openxmlformats.org/officeDocument/2006/relationships/hyperlink" Target="https://github.com/microsoft/vscode/pull/202067" TargetMode="External"/><Relationship Id="rId160" Type="http://schemas.openxmlformats.org/officeDocument/2006/relationships/hyperlink" Target="https://github.com/microsoft/vscode/pull/199983" TargetMode="External"/><Relationship Id="rId161" Type="http://schemas.openxmlformats.org/officeDocument/2006/relationships/hyperlink" Target="https://github.com/microsoft/vscode/pull/199902" TargetMode="External"/><Relationship Id="rId162" Type="http://schemas.openxmlformats.org/officeDocument/2006/relationships/hyperlink" Target="https://github.com/microsoft/vscode/pull/199821" TargetMode="External"/><Relationship Id="rId163" Type="http://schemas.openxmlformats.org/officeDocument/2006/relationships/hyperlink" Target="https://github.com/microsoft/vscode/pull/198946" TargetMode="External"/><Relationship Id="rId164" Type="http://schemas.openxmlformats.org/officeDocument/2006/relationships/hyperlink" Target="https://github.com/microsoft/vscode/pull/197847" TargetMode="External"/><Relationship Id="rId165" Type="http://schemas.openxmlformats.org/officeDocument/2006/relationships/hyperlink" Target="https://github.com/microsoft/vscode/pull/197579" TargetMode="External"/><Relationship Id="rId166" Type="http://schemas.openxmlformats.org/officeDocument/2006/relationships/hyperlink" Target="https://github.com/microsoft/vscode/pull/196190" TargetMode="External"/><Relationship Id="rId167" Type="http://schemas.openxmlformats.org/officeDocument/2006/relationships/hyperlink" Target="https://github.com/microsoft/vscode/pull/193788" TargetMode="External"/><Relationship Id="rId168" Type="http://schemas.openxmlformats.org/officeDocument/2006/relationships/hyperlink" Target="https://github.com/microsoft/vscode/pull/191912" TargetMode="External"/><Relationship Id="rId169" Type="http://schemas.openxmlformats.org/officeDocument/2006/relationships/hyperlink" Target="https://github.com/microsoft/vscode/pull/190649" TargetMode="External"/><Relationship Id="rId170" Type="http://schemas.openxmlformats.org/officeDocument/2006/relationships/hyperlink" Target="https://github.com/microsoft/vscode/pull/190648" TargetMode="External"/><Relationship Id="rId171" Type="http://schemas.openxmlformats.org/officeDocument/2006/relationships/hyperlink" Target="https://github.com/microsoft/vscode/pull/189349" TargetMode="External"/><Relationship Id="rId172" Type="http://schemas.openxmlformats.org/officeDocument/2006/relationships/hyperlink" Target="https://github.com/microsoft/vscode/pull/187592" TargetMode="External"/><Relationship Id="rId173" Type="http://schemas.openxmlformats.org/officeDocument/2006/relationships/hyperlink" Target="https://github.com/microsoft/vscode/pull/185846" TargetMode="External"/><Relationship Id="rId174" Type="http://schemas.openxmlformats.org/officeDocument/2006/relationships/hyperlink" Target="https://github.com/microsoft/vscode/pull/181412" TargetMode="External"/><Relationship Id="rId175" Type="http://schemas.openxmlformats.org/officeDocument/2006/relationships/hyperlink" Target="https://github.com/microsoft/vscode/pull/180903" TargetMode="External"/><Relationship Id="rId176" Type="http://schemas.openxmlformats.org/officeDocument/2006/relationships/hyperlink" Target="https://github.com/microsoft/vscode/pull/180763" TargetMode="External"/><Relationship Id="rId177" Type="http://schemas.openxmlformats.org/officeDocument/2006/relationships/hyperlink" Target="https://github.com/microsoft/vscode/pull/178148" TargetMode="External"/><Relationship Id="rId178" Type="http://schemas.openxmlformats.org/officeDocument/2006/relationships/hyperlink" Target="https://github.com/microsoft/vscode/pull/175820" TargetMode="External"/><Relationship Id="rId179" Type="http://schemas.openxmlformats.org/officeDocument/2006/relationships/hyperlink" Target="https://github.com/microsoft/vscode/pull/172491" TargetMode="External"/><Relationship Id="rId180" Type="http://schemas.openxmlformats.org/officeDocument/2006/relationships/hyperlink" Target="https://github.com/microsoft/vscode/pull/170968" TargetMode="External"/><Relationship Id="rId181" Type="http://schemas.openxmlformats.org/officeDocument/2006/relationships/hyperlink" Target="https://github.com/microsoft/vscode/pull/168707" TargetMode="External"/><Relationship Id="rId182" Type="http://schemas.openxmlformats.org/officeDocument/2006/relationships/hyperlink" Target="https://github.com/microsoft/vscode/pull/166764" TargetMode="External"/><Relationship Id="rId183" Type="http://schemas.openxmlformats.org/officeDocument/2006/relationships/hyperlink" Target="https://github.com/microsoft/vscode/pull/165446" TargetMode="External"/><Relationship Id="rId184" Type="http://schemas.openxmlformats.org/officeDocument/2006/relationships/hyperlink" Target="https://github.com/microsoft/vscode/pull/161393" TargetMode="External"/><Relationship Id="rId185" Type="http://schemas.openxmlformats.org/officeDocument/2006/relationships/hyperlink" Target="https://github.com/microsoft/vscode/pull/159505" TargetMode="External"/><Relationship Id="rId186" Type="http://schemas.openxmlformats.org/officeDocument/2006/relationships/hyperlink" Target="https://github.com/microsoft/vscode/pull/153614" TargetMode="External"/><Relationship Id="rId187" Type="http://schemas.openxmlformats.org/officeDocument/2006/relationships/hyperlink" Target="https://github.com/microsoft/vscode/pull/123644" TargetMode="External"/><Relationship Id="rId188" Type="http://schemas.openxmlformats.org/officeDocument/2006/relationships/hyperlink" Target="https://github.com/microsoft/vscode/pull/120134" TargetMode="External"/><Relationship Id="rId189" Type="http://schemas.openxmlformats.org/officeDocument/2006/relationships/hyperlink" Target="https://github.com/microsoft/vscode/pull/119972" TargetMode="External"/><Relationship Id="rId190" Type="http://schemas.openxmlformats.org/officeDocument/2006/relationships/hyperlink" Target="https://github.com/microsoft/vscode/pull/94486" TargetMode="External"/><Relationship Id="rId191" Type="http://schemas.openxmlformats.org/officeDocument/2006/relationships/hyperlink" Target="https://github.com/microsoft/vscode/pull/88040" TargetMode="External"/><Relationship Id="rId192" Type="http://schemas.openxmlformats.org/officeDocument/2006/relationships/hyperlink" Target="https://github.com/microsoft/vscode/pull/84733" TargetMode="External"/><Relationship Id="rId193" Type="http://schemas.openxmlformats.org/officeDocument/2006/relationships/hyperlink" Target="https://github.com/microsoft/vscode/pull/83788" TargetMode="External"/><Relationship Id="rId194" Type="http://schemas.openxmlformats.org/officeDocument/2006/relationships/hyperlink" Target="https://github.com/microsoft/vscode/pull/80340" TargetMode="External"/><Relationship Id="rId195" Type="http://schemas.openxmlformats.org/officeDocument/2006/relationships/hyperlink" Target="https://github.com/microsoft/vscode/pull/75546" TargetMode="External"/><Relationship Id="rId196" Type="http://schemas.openxmlformats.org/officeDocument/2006/relationships/hyperlink" Target="https://github.com/microsoft/vscode/pull/70244" TargetMode="External"/><Relationship Id="rId197" Type="http://schemas.openxmlformats.org/officeDocument/2006/relationships/hyperlink" Target="https://github.com/microsoft/vscode/pull/68578" TargetMode="External"/><Relationship Id="rId198" Type="http://schemas.openxmlformats.org/officeDocument/2006/relationships/hyperlink" Target="https://github.com/microsoft/vscode/pull/62678" TargetMode="External"/><Relationship Id="rId199" Type="http://schemas.openxmlformats.org/officeDocument/2006/relationships/hyperlink" Target="https://github.com/microsoft/vscode/pull/60080" TargetMode="External"/><Relationship Id="rId200" Type="http://schemas.openxmlformats.org/officeDocument/2006/relationships/hyperlink" Target="https://github.com/microsoft/vscode/pull/51511" TargetMode="External"/><Relationship Id="rId201" Type="http://schemas.openxmlformats.org/officeDocument/2006/relationships/hyperlink" Target="https://github.com/microsoft/vscode/pull/48290" TargetMode="External"/><Relationship Id="rId202" Type="http://schemas.openxmlformats.org/officeDocument/2006/relationships/hyperlink" Target="https://github.com/microsoft/vscode/pull/43345" TargetMode="External"/><Relationship Id="rId203" Type="http://schemas.openxmlformats.org/officeDocument/2006/relationships/hyperlink" Target="https://github.com/microsoft/vscode/pull/33963" TargetMode="External"/><Relationship Id="rId204" Type="http://schemas.openxmlformats.org/officeDocument/2006/relationships/hyperlink" Target="https://github.com/microsoft/vscode/pull/28840" TargetMode="External"/><Relationship Id="rId205" Type="http://schemas.openxmlformats.org/officeDocument/2006/relationships/hyperlink" Target="https://github.com/microsoft/vscode/pull/10309" TargetMode="External"/><Relationship Id="rId206" Type="http://schemas.openxmlformats.org/officeDocument/2006/relationships/hyperlink" Target="https://github.com/microsoft/vscode/pull/8019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Cohen&apos;s_kapp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94"/>
    <col collapsed="false" customWidth="true" hidden="false" outlineLevel="0" max="3" min="2" style="0" width="23.88"/>
    <col collapsed="false" customWidth="true" hidden="false" outlineLevel="0" max="4" min="4" style="0" width="19.46"/>
    <col collapsed="false" customWidth="true" hidden="false" outlineLevel="0" max="5" min="5" style="0" width="43.4"/>
    <col collapsed="false" customWidth="true" hidden="false" outlineLevel="0" max="6" min="6" style="0" width="9.18"/>
    <col collapsed="false" customWidth="true" hidden="false" outlineLevel="0" max="7" min="7" style="0" width="7.57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2" t="s">
        <v>0</v>
      </c>
      <c r="G1" s="2"/>
      <c r="H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3" t="s">
        <v>13</v>
      </c>
      <c r="F3" s="4" t="b">
        <v>0</v>
      </c>
      <c r="G3" s="4" t="b">
        <v>0</v>
      </c>
    </row>
    <row r="4" customFormat="false" ht="12.8" hidden="false" customHeight="false" outlineLevel="0" collapsed="false">
      <c r="A4" s="0" t="s">
        <v>9</v>
      </c>
      <c r="B4" s="0" t="s">
        <v>14</v>
      </c>
      <c r="C4" s="0" t="s">
        <v>15</v>
      </c>
      <c r="D4" s="0" t="s">
        <v>16</v>
      </c>
      <c r="E4" s="3" t="s">
        <v>17</v>
      </c>
      <c r="F4" s="4" t="b">
        <v>0</v>
      </c>
      <c r="G4" s="4" t="b">
        <v>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3" t="s">
        <v>22</v>
      </c>
      <c r="F5" s="4" t="b">
        <v>0</v>
      </c>
      <c r="G5" s="4" t="b">
        <v>0</v>
      </c>
    </row>
    <row r="6" customFormat="false" ht="12.8" hidden="false" customHeight="false" outlineLevel="0" collapsed="false">
      <c r="A6" s="0" t="s">
        <v>18</v>
      </c>
      <c r="B6" s="0" t="s">
        <v>23</v>
      </c>
      <c r="D6" s="0" t="s">
        <v>24</v>
      </c>
      <c r="E6" s="3" t="s">
        <v>25</v>
      </c>
      <c r="F6" s="4" t="b">
        <v>1</v>
      </c>
      <c r="G6" s="4" t="b">
        <v>0</v>
      </c>
    </row>
    <row r="7" customFormat="false" ht="12.8" hidden="false" customHeight="false" outlineLevel="0" collapsed="false">
      <c r="A7" s="0" t="s">
        <v>18</v>
      </c>
      <c r="B7" s="0" t="s">
        <v>26</v>
      </c>
      <c r="C7" s="0" t="s">
        <v>27</v>
      </c>
      <c r="D7" s="0" t="s">
        <v>28</v>
      </c>
      <c r="E7" s="3" t="s">
        <v>29</v>
      </c>
      <c r="F7" s="4" t="b">
        <v>0</v>
      </c>
      <c r="G7" s="4" t="b">
        <v>0</v>
      </c>
    </row>
    <row r="8" customFormat="false" ht="12.8" hidden="false" customHeight="false" outlineLevel="0" collapsed="false">
      <c r="A8" s="0" t="s">
        <v>18</v>
      </c>
      <c r="B8" s="0" t="s">
        <v>30</v>
      </c>
      <c r="C8" s="0" t="s">
        <v>31</v>
      </c>
      <c r="D8" s="0" t="s">
        <v>32</v>
      </c>
      <c r="E8" s="3" t="s">
        <v>33</v>
      </c>
      <c r="F8" s="4" t="b">
        <v>0</v>
      </c>
      <c r="G8" s="4" t="b">
        <v>0</v>
      </c>
    </row>
    <row r="9" customFormat="false" ht="12.8" hidden="false" customHeight="false" outlineLevel="0" collapsed="false">
      <c r="A9" s="0" t="s">
        <v>18</v>
      </c>
      <c r="B9" s="0" t="s">
        <v>34</v>
      </c>
      <c r="C9" s="0" t="s">
        <v>35</v>
      </c>
      <c r="D9" s="0" t="s">
        <v>36</v>
      </c>
      <c r="E9" s="3" t="s">
        <v>37</v>
      </c>
      <c r="F9" s="4" t="b">
        <v>0</v>
      </c>
      <c r="G9" s="4" t="b">
        <v>0</v>
      </c>
    </row>
    <row r="10" customFormat="false" ht="12.8" hidden="false" customHeight="false" outlineLevel="0" collapsed="false">
      <c r="A10" s="0" t="s">
        <v>18</v>
      </c>
      <c r="B10" s="0" t="s">
        <v>38</v>
      </c>
      <c r="C10" s="0" t="s">
        <v>39</v>
      </c>
      <c r="D10" s="0" t="s">
        <v>16</v>
      </c>
      <c r="E10" s="3" t="s">
        <v>40</v>
      </c>
      <c r="F10" s="4" t="b">
        <v>0</v>
      </c>
      <c r="G10" s="4" t="b">
        <v>0</v>
      </c>
    </row>
    <row r="11" customFormat="false" ht="12.8" hidden="false" customHeight="false" outlineLevel="0" collapsed="false">
      <c r="A11" s="0" t="s">
        <v>18</v>
      </c>
      <c r="B11" s="0" t="s">
        <v>41</v>
      </c>
      <c r="C11" s="0" t="s">
        <v>42</v>
      </c>
      <c r="D11" s="0" t="s">
        <v>43</v>
      </c>
      <c r="E11" s="3" t="s">
        <v>44</v>
      </c>
      <c r="F11" s="4" t="b">
        <v>0</v>
      </c>
      <c r="G11" s="4" t="b">
        <v>0</v>
      </c>
    </row>
    <row r="12" customFormat="false" ht="12.8" hidden="false" customHeight="false" outlineLevel="0" collapsed="false">
      <c r="A12" s="0" t="s">
        <v>18</v>
      </c>
      <c r="B12" s="0" t="s">
        <v>45</v>
      </c>
      <c r="C12" s="0" t="s">
        <v>46</v>
      </c>
      <c r="D12" s="0" t="s">
        <v>47</v>
      </c>
      <c r="E12" s="3" t="s">
        <v>48</v>
      </c>
      <c r="F12" s="4" t="b">
        <v>0</v>
      </c>
      <c r="G12" s="4" t="b">
        <v>0</v>
      </c>
    </row>
    <row r="13" customFormat="false" ht="12.8" hidden="false" customHeight="false" outlineLevel="0" collapsed="false">
      <c r="A13" s="0" t="s">
        <v>18</v>
      </c>
      <c r="B13" s="0" t="s">
        <v>49</v>
      </c>
      <c r="C13" s="0" t="s">
        <v>50</v>
      </c>
      <c r="D13" s="0" t="s">
        <v>51</v>
      </c>
      <c r="E13" s="3" t="s">
        <v>52</v>
      </c>
      <c r="F13" s="4" t="b">
        <v>0</v>
      </c>
      <c r="G13" s="4" t="b">
        <v>0</v>
      </c>
    </row>
    <row r="14" customFormat="false" ht="12.8" hidden="false" customHeight="false" outlineLevel="0" collapsed="false">
      <c r="A14" s="0" t="s">
        <v>18</v>
      </c>
      <c r="B14" s="0" t="s">
        <v>53</v>
      </c>
      <c r="C14" s="0" t="s">
        <v>54</v>
      </c>
      <c r="D14" s="0" t="s">
        <v>55</v>
      </c>
      <c r="E14" s="3" t="s">
        <v>56</v>
      </c>
      <c r="F14" s="4" t="b">
        <v>0</v>
      </c>
      <c r="G14" s="4" t="b">
        <v>0</v>
      </c>
    </row>
    <row r="15" customFormat="false" ht="12.8" hidden="false" customHeight="false" outlineLevel="0" collapsed="false">
      <c r="A15" s="0" t="s">
        <v>18</v>
      </c>
      <c r="B15" s="0" t="s">
        <v>57</v>
      </c>
      <c r="C15" s="0" t="s">
        <v>58</v>
      </c>
      <c r="D15" s="0" t="s">
        <v>59</v>
      </c>
      <c r="E15" s="3" t="s">
        <v>60</v>
      </c>
      <c r="F15" s="4" t="b">
        <v>1</v>
      </c>
      <c r="G15" s="4" t="b">
        <v>0</v>
      </c>
    </row>
    <row r="16" customFormat="false" ht="12.8" hidden="false" customHeight="false" outlineLevel="0" collapsed="false">
      <c r="A16" s="0" t="s">
        <v>18</v>
      </c>
      <c r="B16" s="0" t="s">
        <v>61</v>
      </c>
      <c r="C16" s="0" t="s">
        <v>62</v>
      </c>
      <c r="D16" s="0" t="s">
        <v>12</v>
      </c>
      <c r="E16" s="3" t="s">
        <v>63</v>
      </c>
      <c r="F16" s="4" t="b">
        <v>1</v>
      </c>
      <c r="G16" s="4" t="b">
        <v>0</v>
      </c>
      <c r="H16" s="3" t="s">
        <v>64</v>
      </c>
    </row>
    <row r="17" customFormat="false" ht="12.8" hidden="false" customHeight="false" outlineLevel="0" collapsed="false">
      <c r="A17" s="0" t="s">
        <v>18</v>
      </c>
      <c r="B17" s="0" t="s">
        <v>65</v>
      </c>
      <c r="C17" s="0" t="s">
        <v>66</v>
      </c>
      <c r="D17" s="0" t="s">
        <v>67</v>
      </c>
      <c r="E17" s="3" t="s">
        <v>68</v>
      </c>
      <c r="F17" s="4" t="b">
        <v>0</v>
      </c>
      <c r="G17" s="4" t="b">
        <v>0</v>
      </c>
    </row>
    <row r="18" customFormat="false" ht="12.8" hidden="false" customHeight="false" outlineLevel="0" collapsed="false">
      <c r="A18" s="0" t="s">
        <v>18</v>
      </c>
      <c r="B18" s="0" t="s">
        <v>69</v>
      </c>
      <c r="C18" s="0" t="s">
        <v>70</v>
      </c>
      <c r="D18" s="0" t="s">
        <v>71</v>
      </c>
      <c r="E18" s="3" t="s">
        <v>72</v>
      </c>
      <c r="F18" s="4" t="b">
        <v>0</v>
      </c>
      <c r="G18" s="4" t="b">
        <v>0</v>
      </c>
    </row>
    <row r="19" customFormat="false" ht="12.8" hidden="false" customHeight="false" outlineLevel="0" collapsed="false">
      <c r="A19" s="0" t="s">
        <v>18</v>
      </c>
      <c r="B19" s="0" t="s">
        <v>73</v>
      </c>
      <c r="C19" s="0" t="s">
        <v>74</v>
      </c>
      <c r="D19" s="0" t="s">
        <v>75</v>
      </c>
      <c r="E19" s="3" t="s">
        <v>76</v>
      </c>
      <c r="F19" s="4" t="b">
        <v>0</v>
      </c>
      <c r="G19" s="4" t="b">
        <v>0</v>
      </c>
    </row>
    <row r="20" customFormat="false" ht="12.8" hidden="false" customHeight="false" outlineLevel="0" collapsed="false">
      <c r="A20" s="0" t="s">
        <v>18</v>
      </c>
      <c r="B20" s="0" t="s">
        <v>77</v>
      </c>
      <c r="C20" s="0" t="s">
        <v>78</v>
      </c>
      <c r="D20" s="0" t="s">
        <v>79</v>
      </c>
      <c r="E20" s="3" t="s">
        <v>80</v>
      </c>
      <c r="F20" s="4" t="b">
        <v>0</v>
      </c>
      <c r="G20" s="4" t="b">
        <v>0</v>
      </c>
    </row>
    <row r="21" customFormat="false" ht="12.8" hidden="false" customHeight="false" outlineLevel="0" collapsed="false">
      <c r="A21" s="0" t="s">
        <v>18</v>
      </c>
      <c r="B21" s="0" t="s">
        <v>81</v>
      </c>
      <c r="C21" s="0" t="s">
        <v>82</v>
      </c>
      <c r="D21" s="0" t="s">
        <v>16</v>
      </c>
      <c r="E21" s="3" t="s">
        <v>83</v>
      </c>
      <c r="F21" s="4" t="b">
        <v>0</v>
      </c>
      <c r="G21" s="4" t="b">
        <v>0</v>
      </c>
    </row>
    <row r="22" customFormat="false" ht="12.8" hidden="false" customHeight="false" outlineLevel="0" collapsed="false">
      <c r="A22" s="0" t="s">
        <v>18</v>
      </c>
      <c r="B22" s="0" t="s">
        <v>84</v>
      </c>
      <c r="C22" s="0" t="s">
        <v>85</v>
      </c>
      <c r="D22" s="0" t="s">
        <v>86</v>
      </c>
      <c r="E22" s="3" t="s">
        <v>87</v>
      </c>
      <c r="F22" s="4" t="b">
        <v>1</v>
      </c>
      <c r="G22" s="4" t="b">
        <v>0</v>
      </c>
    </row>
    <row r="23" customFormat="false" ht="12.8" hidden="false" customHeight="false" outlineLevel="0" collapsed="false">
      <c r="A23" s="0" t="s">
        <v>18</v>
      </c>
      <c r="B23" s="0" t="s">
        <v>88</v>
      </c>
      <c r="C23" s="0" t="s">
        <v>89</v>
      </c>
      <c r="D23" s="0" t="s">
        <v>90</v>
      </c>
      <c r="E23" s="3" t="s">
        <v>91</v>
      </c>
      <c r="F23" s="4" t="b">
        <v>0</v>
      </c>
      <c r="G23" s="4" t="b">
        <v>0</v>
      </c>
    </row>
    <row r="24" customFormat="false" ht="12.8" hidden="false" customHeight="false" outlineLevel="0" collapsed="false">
      <c r="A24" s="0" t="s">
        <v>18</v>
      </c>
      <c r="B24" s="0" t="s">
        <v>92</v>
      </c>
      <c r="C24" s="0" t="s">
        <v>93</v>
      </c>
      <c r="D24" s="0" t="s">
        <v>94</v>
      </c>
      <c r="E24" s="3" t="s">
        <v>95</v>
      </c>
      <c r="F24" s="4" t="b">
        <v>0</v>
      </c>
      <c r="G24" s="4" t="b">
        <v>0</v>
      </c>
    </row>
    <row r="25" customFormat="false" ht="12.8" hidden="false" customHeight="false" outlineLevel="0" collapsed="false">
      <c r="A25" s="0" t="s">
        <v>18</v>
      </c>
      <c r="B25" s="0" t="s">
        <v>96</v>
      </c>
      <c r="C25" s="0" t="s">
        <v>97</v>
      </c>
      <c r="D25" s="0" t="s">
        <v>98</v>
      </c>
      <c r="E25" s="3" t="s">
        <v>99</v>
      </c>
      <c r="F25" s="4" t="b">
        <v>0</v>
      </c>
      <c r="G25" s="4" t="b">
        <v>0</v>
      </c>
      <c r="H25" s="3" t="s">
        <v>64</v>
      </c>
    </row>
    <row r="26" customFormat="false" ht="12.8" hidden="false" customHeight="false" outlineLevel="0" collapsed="false">
      <c r="A26" s="0" t="s">
        <v>18</v>
      </c>
      <c r="B26" s="0" t="s">
        <v>100</v>
      </c>
      <c r="C26" s="0" t="s">
        <v>101</v>
      </c>
      <c r="D26" s="0" t="s">
        <v>102</v>
      </c>
      <c r="E26" s="3" t="s">
        <v>103</v>
      </c>
      <c r="F26" s="4" t="b">
        <v>0</v>
      </c>
      <c r="G26" s="4" t="b">
        <v>0</v>
      </c>
    </row>
    <row r="27" customFormat="false" ht="12.8" hidden="false" customHeight="false" outlineLevel="0" collapsed="false">
      <c r="A27" s="0" t="s">
        <v>18</v>
      </c>
      <c r="B27" s="0" t="s">
        <v>104</v>
      </c>
      <c r="C27" s="0" t="s">
        <v>105</v>
      </c>
      <c r="D27" s="0" t="s">
        <v>106</v>
      </c>
      <c r="E27" s="3" t="s">
        <v>107</v>
      </c>
      <c r="F27" s="4" t="b">
        <v>0</v>
      </c>
      <c r="G27" s="4" t="b">
        <v>0</v>
      </c>
    </row>
    <row r="28" customFormat="false" ht="12.8" hidden="false" customHeight="false" outlineLevel="0" collapsed="false">
      <c r="A28" s="0" t="s">
        <v>18</v>
      </c>
      <c r="B28" s="0" t="s">
        <v>108</v>
      </c>
      <c r="C28" s="0" t="s">
        <v>109</v>
      </c>
      <c r="D28" s="0" t="s">
        <v>110</v>
      </c>
      <c r="E28" s="3" t="s">
        <v>111</v>
      </c>
      <c r="F28" s="4" t="b">
        <v>1</v>
      </c>
      <c r="G28" s="4" t="b">
        <v>0</v>
      </c>
      <c r="H28" s="3" t="s">
        <v>64</v>
      </c>
    </row>
    <row r="29" customFormat="false" ht="12.8" hidden="false" customHeight="false" outlineLevel="0" collapsed="false">
      <c r="A29" s="0" t="s">
        <v>18</v>
      </c>
      <c r="B29" s="0" t="s">
        <v>112</v>
      </c>
      <c r="C29" s="0" t="s">
        <v>113</v>
      </c>
      <c r="D29" s="0" t="s">
        <v>16</v>
      </c>
      <c r="E29" s="3" t="s">
        <v>114</v>
      </c>
      <c r="F29" s="4" t="b">
        <v>0</v>
      </c>
      <c r="G29" s="4" t="b">
        <v>0</v>
      </c>
    </row>
    <row r="30" customFormat="false" ht="12.8" hidden="false" customHeight="false" outlineLevel="0" collapsed="false">
      <c r="A30" s="0" t="s">
        <v>18</v>
      </c>
      <c r="B30" s="0" t="s">
        <v>115</v>
      </c>
      <c r="C30" s="0" t="s">
        <v>116</v>
      </c>
      <c r="D30" s="0" t="s">
        <v>117</v>
      </c>
      <c r="E30" s="3" t="s">
        <v>118</v>
      </c>
      <c r="F30" s="4" t="b">
        <v>0</v>
      </c>
      <c r="G30" s="4" t="b">
        <v>0</v>
      </c>
    </row>
    <row r="31" customFormat="false" ht="12.8" hidden="false" customHeight="false" outlineLevel="0" collapsed="false">
      <c r="A31" s="0" t="s">
        <v>18</v>
      </c>
      <c r="B31" s="0" t="s">
        <v>119</v>
      </c>
      <c r="C31" s="0" t="s">
        <v>120</v>
      </c>
      <c r="D31" s="0" t="s">
        <v>121</v>
      </c>
      <c r="E31" s="3" t="s">
        <v>122</v>
      </c>
      <c r="F31" s="4" t="b">
        <v>0</v>
      </c>
      <c r="G31" s="4" t="b">
        <v>0</v>
      </c>
    </row>
    <row r="32" customFormat="false" ht="12.8" hidden="false" customHeight="false" outlineLevel="0" collapsed="false">
      <c r="A32" s="0" t="s">
        <v>18</v>
      </c>
      <c r="B32" s="0" t="s">
        <v>123</v>
      </c>
      <c r="C32" s="0" t="s">
        <v>124</v>
      </c>
      <c r="D32" s="0" t="s">
        <v>125</v>
      </c>
      <c r="E32" s="3" t="s">
        <v>126</v>
      </c>
      <c r="F32" s="4" t="b">
        <v>0</v>
      </c>
      <c r="G32" s="4" t="b">
        <v>0</v>
      </c>
    </row>
    <row r="33" customFormat="false" ht="12.8" hidden="false" customHeight="false" outlineLevel="0" collapsed="false">
      <c r="A33" s="0" t="s">
        <v>18</v>
      </c>
      <c r="B33" s="0" t="s">
        <v>127</v>
      </c>
      <c r="C33" s="0" t="s">
        <v>128</v>
      </c>
      <c r="D33" s="0" t="s">
        <v>129</v>
      </c>
      <c r="E33" s="3" t="s">
        <v>130</v>
      </c>
      <c r="F33" s="4" t="b">
        <v>0</v>
      </c>
      <c r="G33" s="4" t="b">
        <v>0</v>
      </c>
    </row>
    <row r="34" customFormat="false" ht="12.8" hidden="false" customHeight="false" outlineLevel="0" collapsed="false">
      <c r="A34" s="0" t="s">
        <v>18</v>
      </c>
      <c r="B34" s="0" t="s">
        <v>131</v>
      </c>
      <c r="C34" s="0" t="s">
        <v>132</v>
      </c>
      <c r="D34" s="0" t="s">
        <v>133</v>
      </c>
      <c r="E34" s="3" t="s">
        <v>134</v>
      </c>
      <c r="F34" s="4" t="b">
        <v>0</v>
      </c>
      <c r="G34" s="4" t="b">
        <v>0</v>
      </c>
    </row>
    <row r="35" customFormat="false" ht="12.8" hidden="false" customHeight="false" outlineLevel="0" collapsed="false">
      <c r="A35" s="0" t="s">
        <v>18</v>
      </c>
      <c r="B35" s="0" t="s">
        <v>135</v>
      </c>
      <c r="C35" s="0" t="s">
        <v>136</v>
      </c>
      <c r="D35" s="0" t="s">
        <v>137</v>
      </c>
      <c r="E35" s="3" t="s">
        <v>138</v>
      </c>
      <c r="F35" s="4" t="b">
        <v>0</v>
      </c>
      <c r="G35" s="4" t="b">
        <v>0</v>
      </c>
    </row>
    <row r="36" customFormat="false" ht="12.8" hidden="false" customHeight="false" outlineLevel="0" collapsed="false">
      <c r="A36" s="0" t="s">
        <v>18</v>
      </c>
      <c r="B36" s="0" t="s">
        <v>139</v>
      </c>
      <c r="C36" s="0" t="s">
        <v>140</v>
      </c>
      <c r="D36" s="0" t="s">
        <v>141</v>
      </c>
      <c r="E36" s="3" t="s">
        <v>142</v>
      </c>
      <c r="F36" s="4" t="b">
        <v>0</v>
      </c>
      <c r="G36" s="4" t="b">
        <v>0</v>
      </c>
      <c r="H36" s="3" t="s">
        <v>64</v>
      </c>
    </row>
    <row r="37" customFormat="false" ht="12.8" hidden="false" customHeight="false" outlineLevel="0" collapsed="false">
      <c r="A37" s="0" t="s">
        <v>18</v>
      </c>
      <c r="B37" s="0" t="s">
        <v>143</v>
      </c>
      <c r="C37" s="0" t="s">
        <v>144</v>
      </c>
      <c r="D37" s="0" t="s">
        <v>16</v>
      </c>
      <c r="E37" s="3" t="s">
        <v>145</v>
      </c>
      <c r="F37" s="4" t="b">
        <v>0</v>
      </c>
      <c r="G37" s="4" t="b">
        <v>0</v>
      </c>
    </row>
    <row r="38" customFormat="false" ht="12.8" hidden="false" customHeight="false" outlineLevel="0" collapsed="false">
      <c r="A38" s="0" t="s">
        <v>18</v>
      </c>
      <c r="B38" s="0" t="s">
        <v>146</v>
      </c>
      <c r="C38" s="0" t="s">
        <v>147</v>
      </c>
      <c r="D38" s="0" t="s">
        <v>148</v>
      </c>
      <c r="E38" s="3" t="s">
        <v>149</v>
      </c>
      <c r="F38" s="4" t="b">
        <v>0</v>
      </c>
      <c r="G38" s="4" t="b">
        <v>0</v>
      </c>
    </row>
    <row r="39" customFormat="false" ht="12.8" hidden="false" customHeight="false" outlineLevel="0" collapsed="false">
      <c r="A39" s="0" t="s">
        <v>18</v>
      </c>
      <c r="B39" s="0" t="s">
        <v>150</v>
      </c>
      <c r="C39" s="0" t="s">
        <v>151</v>
      </c>
      <c r="D39" s="0" t="s">
        <v>12</v>
      </c>
      <c r="E39" s="3" t="s">
        <v>152</v>
      </c>
      <c r="F39" s="4" t="b">
        <v>0</v>
      </c>
      <c r="G39" s="4" t="b">
        <v>0</v>
      </c>
    </row>
    <row r="40" customFormat="false" ht="12.8" hidden="false" customHeight="false" outlineLevel="0" collapsed="false">
      <c r="A40" s="0" t="s">
        <v>18</v>
      </c>
      <c r="B40" s="0" t="s">
        <v>153</v>
      </c>
      <c r="C40" s="0" t="s">
        <v>154</v>
      </c>
      <c r="D40" s="0" t="s">
        <v>155</v>
      </c>
      <c r="E40" s="3" t="s">
        <v>156</v>
      </c>
      <c r="F40" s="4" t="b">
        <v>0</v>
      </c>
      <c r="G40" s="4" t="b">
        <v>0</v>
      </c>
    </row>
    <row r="41" customFormat="false" ht="12.8" hidden="false" customHeight="false" outlineLevel="0" collapsed="false">
      <c r="A41" s="0" t="s">
        <v>18</v>
      </c>
      <c r="B41" s="0" t="s">
        <v>157</v>
      </c>
      <c r="C41" s="0" t="s">
        <v>158</v>
      </c>
      <c r="D41" s="0" t="s">
        <v>125</v>
      </c>
      <c r="E41" s="3" t="s">
        <v>159</v>
      </c>
      <c r="F41" s="4" t="b">
        <v>0</v>
      </c>
      <c r="G41" s="4" t="b">
        <v>0</v>
      </c>
    </row>
    <row r="42" customFormat="false" ht="12.8" hidden="false" customHeight="false" outlineLevel="0" collapsed="false">
      <c r="A42" s="0" t="s">
        <v>18</v>
      </c>
      <c r="B42" s="0" t="s">
        <v>160</v>
      </c>
      <c r="C42" s="0" t="s">
        <v>161</v>
      </c>
      <c r="D42" s="0" t="s">
        <v>162</v>
      </c>
      <c r="E42" s="3" t="s">
        <v>163</v>
      </c>
      <c r="F42" s="4" t="b">
        <v>0</v>
      </c>
      <c r="G42" s="4" t="b">
        <v>0</v>
      </c>
    </row>
    <row r="43" customFormat="false" ht="12.8" hidden="false" customHeight="false" outlineLevel="0" collapsed="false">
      <c r="A43" s="0" t="s">
        <v>18</v>
      </c>
      <c r="B43" s="0" t="s">
        <v>164</v>
      </c>
      <c r="C43" s="0" t="s">
        <v>165</v>
      </c>
      <c r="D43" s="0" t="s">
        <v>166</v>
      </c>
      <c r="E43" s="3" t="s">
        <v>167</v>
      </c>
      <c r="F43" s="4" t="b">
        <v>0</v>
      </c>
      <c r="G43" s="4" t="b">
        <v>0</v>
      </c>
    </row>
    <row r="44" customFormat="false" ht="12.8" hidden="false" customHeight="false" outlineLevel="0" collapsed="false">
      <c r="A44" s="0" t="s">
        <v>18</v>
      </c>
      <c r="B44" s="0" t="s">
        <v>168</v>
      </c>
      <c r="C44" s="0" t="s">
        <v>169</v>
      </c>
      <c r="D44" s="0" t="s">
        <v>170</v>
      </c>
      <c r="E44" s="3" t="s">
        <v>171</v>
      </c>
      <c r="F44" s="4" t="b">
        <v>0</v>
      </c>
      <c r="G44" s="4" t="b">
        <v>0</v>
      </c>
    </row>
    <row r="45" customFormat="false" ht="12.8" hidden="false" customHeight="false" outlineLevel="0" collapsed="false">
      <c r="A45" s="0" t="s">
        <v>172</v>
      </c>
      <c r="B45" s="0" t="s">
        <v>173</v>
      </c>
      <c r="C45" s="0" t="s">
        <v>174</v>
      </c>
      <c r="D45" s="0" t="s">
        <v>175</v>
      </c>
      <c r="E45" s="3" t="s">
        <v>176</v>
      </c>
      <c r="F45" s="4" t="b">
        <v>0</v>
      </c>
      <c r="G45" s="4" t="b">
        <v>0</v>
      </c>
    </row>
    <row r="46" customFormat="false" ht="12.8" hidden="false" customHeight="false" outlineLevel="0" collapsed="false">
      <c r="A46" s="0" t="s">
        <v>172</v>
      </c>
      <c r="B46" s="0" t="s">
        <v>177</v>
      </c>
      <c r="C46" s="0" t="s">
        <v>178</v>
      </c>
      <c r="D46" s="0" t="s">
        <v>179</v>
      </c>
      <c r="E46" s="3" t="s">
        <v>180</v>
      </c>
      <c r="F46" s="4" t="b">
        <v>1</v>
      </c>
      <c r="G46" s="4" t="b">
        <v>1</v>
      </c>
      <c r="H46" s="0" t="s">
        <v>181</v>
      </c>
    </row>
    <row r="47" customFormat="false" ht="12.8" hidden="false" customHeight="false" outlineLevel="0" collapsed="false">
      <c r="A47" s="0" t="s">
        <v>172</v>
      </c>
      <c r="B47" s="0" t="s">
        <v>182</v>
      </c>
      <c r="C47" s="0" t="s">
        <v>183</v>
      </c>
      <c r="D47" s="0" t="s">
        <v>184</v>
      </c>
      <c r="E47" s="3" t="s">
        <v>185</v>
      </c>
      <c r="F47" s="4" t="b">
        <v>1</v>
      </c>
      <c r="G47" s="4" t="b">
        <v>1</v>
      </c>
    </row>
    <row r="48" customFormat="false" ht="12.8" hidden="false" customHeight="false" outlineLevel="0" collapsed="false">
      <c r="A48" s="0" t="s">
        <v>172</v>
      </c>
      <c r="B48" s="0" t="s">
        <v>186</v>
      </c>
      <c r="C48" s="0" t="s">
        <v>187</v>
      </c>
      <c r="D48" s="0" t="s">
        <v>188</v>
      </c>
      <c r="E48" s="3" t="s">
        <v>189</v>
      </c>
      <c r="F48" s="4" t="b">
        <v>0</v>
      </c>
      <c r="G48" s="4" t="b">
        <v>0</v>
      </c>
    </row>
    <row r="49" customFormat="false" ht="12.8" hidden="false" customHeight="false" outlineLevel="0" collapsed="false">
      <c r="A49" s="0" t="s">
        <v>172</v>
      </c>
      <c r="B49" s="0" t="s">
        <v>190</v>
      </c>
      <c r="C49" s="0" t="s">
        <v>191</v>
      </c>
      <c r="D49" s="0" t="s">
        <v>192</v>
      </c>
      <c r="E49" s="3" t="s">
        <v>193</v>
      </c>
      <c r="F49" s="4" t="b">
        <v>0</v>
      </c>
      <c r="G49" s="4" t="b">
        <v>0</v>
      </c>
    </row>
    <row r="50" customFormat="false" ht="12.8" hidden="false" customHeight="false" outlineLevel="0" collapsed="false">
      <c r="A50" s="0" t="s">
        <v>172</v>
      </c>
      <c r="B50" s="0" t="s">
        <v>194</v>
      </c>
      <c r="C50" s="0" t="s">
        <v>195</v>
      </c>
      <c r="D50" s="0" t="s">
        <v>196</v>
      </c>
      <c r="E50" s="3" t="s">
        <v>197</v>
      </c>
      <c r="F50" s="4" t="b">
        <v>0</v>
      </c>
      <c r="G50" s="4" t="b">
        <v>0</v>
      </c>
    </row>
    <row r="51" customFormat="false" ht="12.8" hidden="false" customHeight="false" outlineLevel="0" collapsed="false">
      <c r="A51" s="0" t="s">
        <v>172</v>
      </c>
      <c r="B51" s="0" t="s">
        <v>198</v>
      </c>
      <c r="C51" s="0" t="s">
        <v>199</v>
      </c>
      <c r="D51" s="0" t="s">
        <v>12</v>
      </c>
      <c r="E51" s="3" t="s">
        <v>200</v>
      </c>
      <c r="F51" s="4" t="b">
        <v>0</v>
      </c>
      <c r="G51" s="4" t="b">
        <v>1</v>
      </c>
      <c r="H51" s="0" t="s">
        <v>201</v>
      </c>
    </row>
    <row r="52" customFormat="false" ht="12.8" hidden="false" customHeight="false" outlineLevel="0" collapsed="false">
      <c r="A52" s="0" t="s">
        <v>172</v>
      </c>
      <c r="B52" s="0" t="s">
        <v>202</v>
      </c>
      <c r="C52" s="0" t="s">
        <v>203</v>
      </c>
      <c r="D52" s="0" t="s">
        <v>204</v>
      </c>
      <c r="E52" s="3" t="s">
        <v>205</v>
      </c>
      <c r="F52" s="4" t="b">
        <v>0</v>
      </c>
      <c r="G52" s="4" t="b">
        <v>0</v>
      </c>
      <c r="H52" s="0" t="s">
        <v>206</v>
      </c>
    </row>
    <row r="53" customFormat="false" ht="12.8" hidden="false" customHeight="false" outlineLevel="0" collapsed="false">
      <c r="A53" s="0" t="s">
        <v>172</v>
      </c>
      <c r="B53" s="0" t="s">
        <v>207</v>
      </c>
      <c r="C53" s="0" t="s">
        <v>208</v>
      </c>
      <c r="D53" s="0" t="s">
        <v>209</v>
      </c>
      <c r="E53" s="3" t="s">
        <v>210</v>
      </c>
      <c r="F53" s="4" t="b">
        <v>0</v>
      </c>
      <c r="G53" s="4" t="b">
        <v>0</v>
      </c>
    </row>
    <row r="54" customFormat="false" ht="12.8" hidden="false" customHeight="false" outlineLevel="0" collapsed="false">
      <c r="A54" s="0" t="s">
        <v>172</v>
      </c>
      <c r="B54" s="0" t="s">
        <v>211</v>
      </c>
      <c r="C54" s="0" t="s">
        <v>212</v>
      </c>
      <c r="D54" s="0" t="s">
        <v>213</v>
      </c>
      <c r="E54" s="3" t="s">
        <v>214</v>
      </c>
      <c r="F54" s="4" t="b">
        <v>0</v>
      </c>
      <c r="G54" s="4" t="b">
        <v>0</v>
      </c>
    </row>
    <row r="55" customFormat="false" ht="12.8" hidden="false" customHeight="false" outlineLevel="0" collapsed="false">
      <c r="A55" s="0" t="s">
        <v>172</v>
      </c>
      <c r="B55" s="0" t="s">
        <v>215</v>
      </c>
      <c r="C55" s="0" t="s">
        <v>216</v>
      </c>
      <c r="D55" s="0" t="s">
        <v>12</v>
      </c>
      <c r="E55" s="3" t="s">
        <v>217</v>
      </c>
      <c r="F55" s="4" t="b">
        <v>0</v>
      </c>
      <c r="G55" s="4" t="b">
        <v>0</v>
      </c>
    </row>
    <row r="56" customFormat="false" ht="12.8" hidden="false" customHeight="false" outlineLevel="0" collapsed="false">
      <c r="A56" s="0" t="s">
        <v>172</v>
      </c>
      <c r="B56" s="0" t="s">
        <v>218</v>
      </c>
      <c r="C56" s="0" t="s">
        <v>219</v>
      </c>
      <c r="D56" s="0" t="s">
        <v>220</v>
      </c>
      <c r="E56" s="3" t="s">
        <v>221</v>
      </c>
      <c r="F56" s="4" t="b">
        <v>0</v>
      </c>
      <c r="G56" s="4" t="b">
        <v>0</v>
      </c>
    </row>
    <row r="57" customFormat="false" ht="12.8" hidden="false" customHeight="false" outlineLevel="0" collapsed="false">
      <c r="A57" s="0" t="s">
        <v>172</v>
      </c>
      <c r="B57" s="0" t="s">
        <v>222</v>
      </c>
      <c r="C57" s="0" t="s">
        <v>223</v>
      </c>
      <c r="D57" s="0" t="s">
        <v>224</v>
      </c>
      <c r="E57" s="3" t="s">
        <v>225</v>
      </c>
      <c r="F57" s="4" t="b">
        <v>0</v>
      </c>
      <c r="G57" s="4" t="b">
        <v>0</v>
      </c>
    </row>
    <row r="58" customFormat="false" ht="12.8" hidden="false" customHeight="false" outlineLevel="0" collapsed="false">
      <c r="A58" s="0" t="s">
        <v>172</v>
      </c>
      <c r="B58" s="0" t="s">
        <v>226</v>
      </c>
      <c r="C58" s="0" t="s">
        <v>227</v>
      </c>
      <c r="D58" s="0" t="s">
        <v>228</v>
      </c>
      <c r="E58" s="3" t="s">
        <v>229</v>
      </c>
      <c r="F58" s="4" t="b">
        <v>0</v>
      </c>
      <c r="G58" s="4" t="b">
        <v>0</v>
      </c>
    </row>
    <row r="59" customFormat="false" ht="12.8" hidden="false" customHeight="false" outlineLevel="0" collapsed="false">
      <c r="A59" s="0" t="s">
        <v>172</v>
      </c>
      <c r="B59" s="0" t="s">
        <v>230</v>
      </c>
      <c r="C59" s="0" t="s">
        <v>231</v>
      </c>
      <c r="D59" s="0" t="s">
        <v>232</v>
      </c>
      <c r="E59" s="3" t="s">
        <v>233</v>
      </c>
      <c r="F59" s="4" t="b">
        <v>0</v>
      </c>
      <c r="G59" s="4" t="b">
        <v>0</v>
      </c>
    </row>
    <row r="60" customFormat="false" ht="12.8" hidden="false" customHeight="false" outlineLevel="0" collapsed="false">
      <c r="A60" s="0" t="s">
        <v>172</v>
      </c>
      <c r="B60" s="0" t="s">
        <v>234</v>
      </c>
      <c r="C60" s="0" t="s">
        <v>235</v>
      </c>
      <c r="D60" s="0" t="s">
        <v>236</v>
      </c>
      <c r="E60" s="3" t="s">
        <v>237</v>
      </c>
      <c r="F60" s="4" t="b">
        <v>0</v>
      </c>
      <c r="G60" s="4" t="b">
        <v>0</v>
      </c>
    </row>
    <row r="61" customFormat="false" ht="12.8" hidden="false" customHeight="false" outlineLevel="0" collapsed="false">
      <c r="A61" s="0" t="s">
        <v>172</v>
      </c>
      <c r="B61" s="0" t="s">
        <v>238</v>
      </c>
      <c r="C61" s="0" t="s">
        <v>239</v>
      </c>
      <c r="D61" s="0" t="s">
        <v>240</v>
      </c>
      <c r="E61" s="3" t="s">
        <v>241</v>
      </c>
      <c r="F61" s="4" t="b">
        <v>0</v>
      </c>
      <c r="G61" s="4" t="b">
        <v>0</v>
      </c>
    </row>
    <row r="62" customFormat="false" ht="12.8" hidden="false" customHeight="false" outlineLevel="0" collapsed="false">
      <c r="A62" s="0" t="s">
        <v>172</v>
      </c>
      <c r="B62" s="0" t="s">
        <v>242</v>
      </c>
      <c r="C62" s="0" t="s">
        <v>243</v>
      </c>
      <c r="D62" s="0" t="s">
        <v>244</v>
      </c>
      <c r="E62" s="3" t="s">
        <v>245</v>
      </c>
      <c r="F62" s="4" t="b">
        <v>0</v>
      </c>
      <c r="G62" s="4" t="b">
        <v>0</v>
      </c>
    </row>
    <row r="63" customFormat="false" ht="12.8" hidden="false" customHeight="false" outlineLevel="0" collapsed="false">
      <c r="A63" s="0" t="s">
        <v>172</v>
      </c>
      <c r="B63" s="0" t="s">
        <v>246</v>
      </c>
      <c r="C63" s="0" t="s">
        <v>247</v>
      </c>
      <c r="D63" s="0" t="s">
        <v>248</v>
      </c>
      <c r="E63" s="3" t="s">
        <v>249</v>
      </c>
      <c r="F63" s="4" t="b">
        <v>0</v>
      </c>
      <c r="G63" s="4" t="b">
        <v>0</v>
      </c>
    </row>
    <row r="64" customFormat="false" ht="12.8" hidden="false" customHeight="false" outlineLevel="0" collapsed="false">
      <c r="A64" s="0" t="s">
        <v>172</v>
      </c>
      <c r="B64" s="0" t="s">
        <v>250</v>
      </c>
      <c r="C64" s="0" t="s">
        <v>251</v>
      </c>
      <c r="D64" s="0" t="s">
        <v>252</v>
      </c>
      <c r="E64" s="3" t="s">
        <v>253</v>
      </c>
      <c r="F64" s="4" t="b">
        <v>0</v>
      </c>
      <c r="G64" s="4" t="b">
        <v>0</v>
      </c>
    </row>
    <row r="65" customFormat="false" ht="12.8" hidden="false" customHeight="false" outlineLevel="0" collapsed="false">
      <c r="A65" s="0" t="s">
        <v>172</v>
      </c>
      <c r="B65" s="0" t="s">
        <v>254</v>
      </c>
      <c r="C65" s="0" t="s">
        <v>255</v>
      </c>
      <c r="D65" s="0" t="s">
        <v>256</v>
      </c>
      <c r="E65" s="3" t="s">
        <v>257</v>
      </c>
      <c r="F65" s="4" t="b">
        <v>0</v>
      </c>
      <c r="G65" s="4" t="b">
        <v>0</v>
      </c>
    </row>
    <row r="66" customFormat="false" ht="12.8" hidden="false" customHeight="false" outlineLevel="0" collapsed="false">
      <c r="A66" s="0" t="s">
        <v>172</v>
      </c>
      <c r="B66" s="0" t="s">
        <v>258</v>
      </c>
      <c r="C66" s="0" t="s">
        <v>259</v>
      </c>
      <c r="D66" s="0" t="s">
        <v>260</v>
      </c>
      <c r="E66" s="3" t="s">
        <v>261</v>
      </c>
      <c r="F66" s="4" t="b">
        <v>0</v>
      </c>
      <c r="G66" s="4" t="b">
        <v>0</v>
      </c>
    </row>
    <row r="67" customFormat="false" ht="12.8" hidden="false" customHeight="false" outlineLevel="0" collapsed="false">
      <c r="A67" s="0" t="s">
        <v>172</v>
      </c>
      <c r="B67" s="0" t="s">
        <v>262</v>
      </c>
      <c r="C67" s="0" t="s">
        <v>263</v>
      </c>
      <c r="D67" s="0" t="s">
        <v>264</v>
      </c>
      <c r="E67" s="3" t="s">
        <v>265</v>
      </c>
      <c r="F67" s="4" t="b">
        <v>0</v>
      </c>
      <c r="G67" s="4" t="b">
        <v>0</v>
      </c>
    </row>
    <row r="68" customFormat="false" ht="12.8" hidden="false" customHeight="false" outlineLevel="0" collapsed="false">
      <c r="A68" s="0" t="s">
        <v>172</v>
      </c>
      <c r="B68" s="0" t="s">
        <v>266</v>
      </c>
      <c r="C68" s="0" t="s">
        <v>267</v>
      </c>
      <c r="D68" s="0" t="s">
        <v>268</v>
      </c>
      <c r="E68" s="3" t="s">
        <v>269</v>
      </c>
      <c r="F68" s="4" t="b">
        <v>0</v>
      </c>
      <c r="G68" s="4" t="b">
        <v>0</v>
      </c>
    </row>
    <row r="69" customFormat="false" ht="12.8" hidden="false" customHeight="false" outlineLevel="0" collapsed="false">
      <c r="A69" s="0" t="s">
        <v>172</v>
      </c>
      <c r="B69" s="0" t="s">
        <v>270</v>
      </c>
      <c r="C69" s="0" t="s">
        <v>271</v>
      </c>
      <c r="D69" s="0" t="s">
        <v>272</v>
      </c>
      <c r="E69" s="3" t="s">
        <v>273</v>
      </c>
      <c r="F69" s="4" t="b">
        <v>0</v>
      </c>
      <c r="G69" s="4" t="b">
        <v>0</v>
      </c>
    </row>
    <row r="70" customFormat="false" ht="12.8" hidden="false" customHeight="false" outlineLevel="0" collapsed="false">
      <c r="A70" s="0" t="s">
        <v>172</v>
      </c>
      <c r="B70" s="0" t="s">
        <v>274</v>
      </c>
      <c r="C70" s="0" t="s">
        <v>275</v>
      </c>
      <c r="D70" s="0" t="s">
        <v>276</v>
      </c>
      <c r="E70" s="3" t="s">
        <v>277</v>
      </c>
      <c r="F70" s="4" t="b">
        <v>0</v>
      </c>
      <c r="G70" s="4" t="b">
        <v>0</v>
      </c>
    </row>
    <row r="71" customFormat="false" ht="12.8" hidden="false" customHeight="false" outlineLevel="0" collapsed="false">
      <c r="A71" s="0" t="s">
        <v>172</v>
      </c>
      <c r="B71" s="0" t="s">
        <v>278</v>
      </c>
      <c r="C71" s="0" t="s">
        <v>279</v>
      </c>
      <c r="D71" s="0" t="s">
        <v>280</v>
      </c>
      <c r="E71" s="3" t="s">
        <v>281</v>
      </c>
      <c r="F71" s="4" t="b">
        <v>0</v>
      </c>
      <c r="G71" s="4" t="b">
        <v>0</v>
      </c>
    </row>
    <row r="72" customFormat="false" ht="12.8" hidden="false" customHeight="false" outlineLevel="0" collapsed="false">
      <c r="A72" s="0" t="s">
        <v>172</v>
      </c>
      <c r="B72" s="0" t="s">
        <v>282</v>
      </c>
      <c r="C72" s="0" t="s">
        <v>283</v>
      </c>
      <c r="D72" s="0" t="s">
        <v>284</v>
      </c>
      <c r="E72" s="3" t="s">
        <v>285</v>
      </c>
      <c r="F72" s="4" t="b">
        <v>0</v>
      </c>
      <c r="G72" s="4" t="b">
        <v>0</v>
      </c>
    </row>
    <row r="73" customFormat="false" ht="12.8" hidden="false" customHeight="false" outlineLevel="0" collapsed="false">
      <c r="A73" s="0" t="s">
        <v>172</v>
      </c>
      <c r="B73" s="0" t="s">
        <v>286</v>
      </c>
      <c r="C73" s="0" t="s">
        <v>287</v>
      </c>
      <c r="D73" s="0" t="s">
        <v>288</v>
      </c>
      <c r="E73" s="3" t="s">
        <v>289</v>
      </c>
      <c r="F73" s="4" t="b">
        <v>0</v>
      </c>
      <c r="G73" s="4" t="b">
        <v>0</v>
      </c>
    </row>
    <row r="74" customFormat="false" ht="12.8" hidden="false" customHeight="false" outlineLevel="0" collapsed="false">
      <c r="A74" s="0" t="s">
        <v>172</v>
      </c>
      <c r="B74" s="0" t="s">
        <v>290</v>
      </c>
      <c r="C74" s="0" t="s">
        <v>291</v>
      </c>
      <c r="D74" s="0" t="s">
        <v>292</v>
      </c>
      <c r="E74" s="3" t="s">
        <v>293</v>
      </c>
      <c r="F74" s="4" t="b">
        <v>0</v>
      </c>
      <c r="G74" s="4" t="b">
        <v>0</v>
      </c>
    </row>
    <row r="75" customFormat="false" ht="12.8" hidden="false" customHeight="false" outlineLevel="0" collapsed="false">
      <c r="A75" s="0" t="s">
        <v>172</v>
      </c>
      <c r="B75" s="0" t="s">
        <v>294</v>
      </c>
      <c r="C75" s="0" t="s">
        <v>295</v>
      </c>
      <c r="D75" s="0" t="s">
        <v>296</v>
      </c>
      <c r="E75" s="3" t="s">
        <v>297</v>
      </c>
      <c r="F75" s="4" t="b">
        <v>0</v>
      </c>
      <c r="G75" s="4" t="b">
        <v>0</v>
      </c>
    </row>
    <row r="76" customFormat="false" ht="12.8" hidden="false" customHeight="false" outlineLevel="0" collapsed="false">
      <c r="A76" s="0" t="s">
        <v>172</v>
      </c>
      <c r="B76" s="0" t="s">
        <v>298</v>
      </c>
      <c r="C76" s="0" t="s">
        <v>299</v>
      </c>
      <c r="D76" s="0" t="s">
        <v>300</v>
      </c>
      <c r="E76" s="3" t="s">
        <v>301</v>
      </c>
      <c r="F76" s="4" t="b">
        <v>0</v>
      </c>
      <c r="G76" s="4" t="b">
        <v>0</v>
      </c>
    </row>
    <row r="77" customFormat="false" ht="12.8" hidden="false" customHeight="false" outlineLevel="0" collapsed="false">
      <c r="A77" s="0" t="s">
        <v>172</v>
      </c>
      <c r="B77" s="0" t="s">
        <v>302</v>
      </c>
      <c r="C77" s="0" t="s">
        <v>303</v>
      </c>
      <c r="D77" s="0" t="s">
        <v>304</v>
      </c>
      <c r="E77" s="3" t="s">
        <v>305</v>
      </c>
      <c r="F77" s="4" t="b">
        <v>0</v>
      </c>
      <c r="G77" s="4" t="b">
        <v>0</v>
      </c>
    </row>
    <row r="78" customFormat="false" ht="12.8" hidden="false" customHeight="false" outlineLevel="0" collapsed="false">
      <c r="A78" s="0" t="s">
        <v>172</v>
      </c>
      <c r="B78" s="0" t="s">
        <v>306</v>
      </c>
      <c r="C78" s="0" t="s">
        <v>307</v>
      </c>
      <c r="D78" s="0" t="s">
        <v>308</v>
      </c>
      <c r="E78" s="3" t="s">
        <v>309</v>
      </c>
      <c r="F78" s="4" t="b">
        <v>0</v>
      </c>
      <c r="G78" s="4" t="b">
        <v>0</v>
      </c>
    </row>
    <row r="79" customFormat="false" ht="12.8" hidden="false" customHeight="false" outlineLevel="0" collapsed="false">
      <c r="A79" s="0" t="s">
        <v>172</v>
      </c>
      <c r="B79" s="0" t="s">
        <v>310</v>
      </c>
      <c r="C79" s="0" t="s">
        <v>311</v>
      </c>
      <c r="D79" s="0" t="s">
        <v>312</v>
      </c>
      <c r="E79" s="3" t="s">
        <v>313</v>
      </c>
      <c r="F79" s="4" t="b">
        <v>0</v>
      </c>
      <c r="G79" s="4" t="b">
        <v>0</v>
      </c>
    </row>
    <row r="80" customFormat="false" ht="12.8" hidden="false" customHeight="false" outlineLevel="0" collapsed="false">
      <c r="A80" s="0" t="s">
        <v>172</v>
      </c>
      <c r="B80" s="0" t="s">
        <v>314</v>
      </c>
      <c r="C80" s="0" t="s">
        <v>315</v>
      </c>
      <c r="D80" s="0" t="s">
        <v>316</v>
      </c>
      <c r="E80" s="3" t="s">
        <v>317</v>
      </c>
      <c r="F80" s="4" t="b">
        <v>0</v>
      </c>
      <c r="G80" s="4" t="b">
        <v>0</v>
      </c>
    </row>
    <row r="81" customFormat="false" ht="12.8" hidden="false" customHeight="false" outlineLevel="0" collapsed="false">
      <c r="A81" s="0" t="s">
        <v>172</v>
      </c>
      <c r="B81" s="0" t="s">
        <v>318</v>
      </c>
      <c r="C81" s="0" t="s">
        <v>319</v>
      </c>
      <c r="D81" s="0" t="s">
        <v>320</v>
      </c>
      <c r="E81" s="3" t="s">
        <v>321</v>
      </c>
      <c r="F81" s="4" t="b">
        <v>0</v>
      </c>
      <c r="G81" s="4" t="b">
        <v>0</v>
      </c>
    </row>
    <row r="82" customFormat="false" ht="12.8" hidden="false" customHeight="false" outlineLevel="0" collapsed="false">
      <c r="A82" s="0" t="s">
        <v>172</v>
      </c>
      <c r="B82" s="0" t="s">
        <v>322</v>
      </c>
      <c r="C82" s="0" t="s">
        <v>323</v>
      </c>
      <c r="D82" s="0" t="s">
        <v>324</v>
      </c>
      <c r="E82" s="3" t="s">
        <v>325</v>
      </c>
      <c r="F82" s="4" t="b">
        <v>0</v>
      </c>
      <c r="G82" s="4" t="b">
        <v>0</v>
      </c>
    </row>
    <row r="83" customFormat="false" ht="12.8" hidden="false" customHeight="false" outlineLevel="0" collapsed="false">
      <c r="A83" s="0" t="s">
        <v>172</v>
      </c>
      <c r="B83" s="0" t="s">
        <v>326</v>
      </c>
      <c r="C83" s="0" t="s">
        <v>327</v>
      </c>
      <c r="D83" s="0" t="s">
        <v>328</v>
      </c>
      <c r="E83" s="3" t="s">
        <v>329</v>
      </c>
      <c r="F83" s="4" t="b">
        <v>0</v>
      </c>
      <c r="G83" s="4" t="b">
        <v>0</v>
      </c>
    </row>
    <row r="84" customFormat="false" ht="12.8" hidden="false" customHeight="false" outlineLevel="0" collapsed="false">
      <c r="A84" s="0" t="s">
        <v>172</v>
      </c>
      <c r="B84" s="0" t="s">
        <v>330</v>
      </c>
      <c r="C84" s="0" t="s">
        <v>331</v>
      </c>
      <c r="D84" s="0" t="s">
        <v>332</v>
      </c>
      <c r="E84" s="3" t="s">
        <v>333</v>
      </c>
      <c r="F84" s="4" t="b">
        <v>0</v>
      </c>
      <c r="G84" s="4" t="b">
        <v>0</v>
      </c>
    </row>
    <row r="85" customFormat="false" ht="12.8" hidden="false" customHeight="false" outlineLevel="0" collapsed="false">
      <c r="A85" s="0" t="s">
        <v>172</v>
      </c>
      <c r="B85" s="0" t="s">
        <v>334</v>
      </c>
      <c r="C85" s="0" t="s">
        <v>335</v>
      </c>
      <c r="D85" s="0" t="s">
        <v>336</v>
      </c>
      <c r="E85" s="3" t="s">
        <v>337</v>
      </c>
      <c r="F85" s="4" t="b">
        <v>0</v>
      </c>
      <c r="G85" s="4" t="b">
        <v>0</v>
      </c>
    </row>
    <row r="86" customFormat="false" ht="12.8" hidden="false" customHeight="false" outlineLevel="0" collapsed="false">
      <c r="A86" s="0" t="s">
        <v>338</v>
      </c>
      <c r="B86" s="0" t="s">
        <v>339</v>
      </c>
      <c r="C86" s="0" t="s">
        <v>340</v>
      </c>
      <c r="D86" s="0" t="s">
        <v>341</v>
      </c>
      <c r="E86" s="3" t="s">
        <v>342</v>
      </c>
      <c r="F86" s="4" t="b">
        <v>1</v>
      </c>
      <c r="G86" s="4" t="b">
        <v>1</v>
      </c>
    </row>
    <row r="87" customFormat="false" ht="12.8" hidden="false" customHeight="false" outlineLevel="0" collapsed="false">
      <c r="A87" s="0" t="s">
        <v>338</v>
      </c>
      <c r="B87" s="0" t="s">
        <v>343</v>
      </c>
      <c r="C87" s="0" t="s">
        <v>344</v>
      </c>
      <c r="D87" s="0" t="s">
        <v>345</v>
      </c>
      <c r="E87" s="3" t="s">
        <v>346</v>
      </c>
      <c r="F87" s="4" t="b">
        <v>0</v>
      </c>
      <c r="G87" s="4" t="b">
        <v>0</v>
      </c>
    </row>
    <row r="88" customFormat="false" ht="12.8" hidden="false" customHeight="false" outlineLevel="0" collapsed="false">
      <c r="A88" s="0" t="s">
        <v>338</v>
      </c>
      <c r="B88" s="0" t="s">
        <v>347</v>
      </c>
      <c r="C88" s="0" t="s">
        <v>348</v>
      </c>
      <c r="D88" s="0" t="s">
        <v>349</v>
      </c>
      <c r="E88" s="3" t="s">
        <v>350</v>
      </c>
      <c r="F88" s="4" t="b">
        <v>0</v>
      </c>
      <c r="G88" s="4" t="b">
        <v>1</v>
      </c>
      <c r="H88" s="0" t="s">
        <v>351</v>
      </c>
    </row>
    <row r="89" customFormat="false" ht="12.8" hidden="false" customHeight="false" outlineLevel="0" collapsed="false">
      <c r="A89" s="0" t="s">
        <v>338</v>
      </c>
      <c r="B89" s="0" t="s">
        <v>352</v>
      </c>
      <c r="C89" s="0" t="s">
        <v>353</v>
      </c>
      <c r="D89" s="0" t="s">
        <v>354</v>
      </c>
      <c r="E89" s="3" t="s">
        <v>355</v>
      </c>
      <c r="F89" s="4" t="b">
        <v>0</v>
      </c>
      <c r="G89" s="4" t="b">
        <v>0</v>
      </c>
    </row>
    <row r="90" customFormat="false" ht="12.8" hidden="false" customHeight="false" outlineLevel="0" collapsed="false">
      <c r="A90" s="0" t="s">
        <v>338</v>
      </c>
      <c r="B90" s="0" t="s">
        <v>356</v>
      </c>
      <c r="C90" s="0" t="s">
        <v>357</v>
      </c>
      <c r="D90" s="0" t="s">
        <v>358</v>
      </c>
      <c r="E90" s="3" t="s">
        <v>359</v>
      </c>
      <c r="F90" s="4" t="b">
        <v>0</v>
      </c>
      <c r="G90" s="4" t="b">
        <v>0</v>
      </c>
    </row>
    <row r="91" customFormat="false" ht="12.8" hidden="false" customHeight="false" outlineLevel="0" collapsed="false">
      <c r="A91" s="0" t="s">
        <v>338</v>
      </c>
      <c r="B91" s="0" t="s">
        <v>360</v>
      </c>
      <c r="C91" s="0" t="s">
        <v>361</v>
      </c>
      <c r="D91" s="0" t="s">
        <v>362</v>
      </c>
      <c r="E91" s="3" t="s">
        <v>363</v>
      </c>
      <c r="F91" s="4" t="b">
        <v>0</v>
      </c>
      <c r="G91" s="4" t="b">
        <v>0</v>
      </c>
    </row>
    <row r="92" customFormat="false" ht="12.8" hidden="false" customHeight="false" outlineLevel="0" collapsed="false">
      <c r="A92" s="0" t="s">
        <v>338</v>
      </c>
      <c r="B92" s="0" t="s">
        <v>364</v>
      </c>
      <c r="C92" s="0" t="s">
        <v>365</v>
      </c>
      <c r="D92" s="0" t="s">
        <v>366</v>
      </c>
      <c r="E92" s="3" t="s">
        <v>367</v>
      </c>
      <c r="F92" s="4" t="b">
        <v>0</v>
      </c>
      <c r="G92" s="4" t="b">
        <v>0</v>
      </c>
    </row>
    <row r="93" customFormat="false" ht="12.8" hidden="false" customHeight="false" outlineLevel="0" collapsed="false">
      <c r="A93" s="0" t="s">
        <v>338</v>
      </c>
      <c r="B93" s="0" t="s">
        <v>368</v>
      </c>
      <c r="C93" s="0" t="s">
        <v>369</v>
      </c>
      <c r="D93" s="0" t="s">
        <v>370</v>
      </c>
      <c r="E93" s="3" t="s">
        <v>371</v>
      </c>
      <c r="F93" s="4" t="b">
        <v>0</v>
      </c>
      <c r="G93" s="4" t="b">
        <v>0</v>
      </c>
    </row>
    <row r="94" customFormat="false" ht="12.8" hidden="false" customHeight="false" outlineLevel="0" collapsed="false">
      <c r="A94" s="0" t="s">
        <v>338</v>
      </c>
      <c r="B94" s="0" t="s">
        <v>372</v>
      </c>
      <c r="C94" s="0" t="s">
        <v>373</v>
      </c>
      <c r="D94" s="0" t="s">
        <v>374</v>
      </c>
      <c r="E94" s="3" t="s">
        <v>375</v>
      </c>
      <c r="F94" s="4" t="b">
        <v>0</v>
      </c>
      <c r="G94" s="4" t="b">
        <v>0</v>
      </c>
    </row>
    <row r="95" customFormat="false" ht="12.8" hidden="false" customHeight="false" outlineLevel="0" collapsed="false">
      <c r="A95" s="0" t="s">
        <v>338</v>
      </c>
      <c r="B95" s="0" t="s">
        <v>376</v>
      </c>
      <c r="C95" s="0" t="s">
        <v>377</v>
      </c>
      <c r="D95" s="0" t="s">
        <v>12</v>
      </c>
      <c r="E95" s="3" t="s">
        <v>378</v>
      </c>
      <c r="F95" s="4" t="b">
        <v>0</v>
      </c>
      <c r="G95" s="4" t="b">
        <v>0</v>
      </c>
    </row>
    <row r="96" customFormat="false" ht="12.8" hidden="false" customHeight="false" outlineLevel="0" collapsed="false">
      <c r="A96" s="0" t="s">
        <v>338</v>
      </c>
      <c r="B96" s="0" t="s">
        <v>379</v>
      </c>
      <c r="C96" s="0" t="s">
        <v>380</v>
      </c>
      <c r="D96" s="0" t="s">
        <v>381</v>
      </c>
      <c r="E96" s="3" t="s">
        <v>382</v>
      </c>
      <c r="F96" s="4" t="b">
        <v>0</v>
      </c>
      <c r="G96" s="4" t="b">
        <v>0</v>
      </c>
    </row>
    <row r="97" customFormat="false" ht="12.8" hidden="false" customHeight="false" outlineLevel="0" collapsed="false">
      <c r="A97" s="0" t="s">
        <v>338</v>
      </c>
      <c r="B97" s="0" t="s">
        <v>383</v>
      </c>
      <c r="C97" s="0" t="s">
        <v>384</v>
      </c>
      <c r="D97" s="0" t="s">
        <v>385</v>
      </c>
      <c r="E97" s="3" t="s">
        <v>386</v>
      </c>
      <c r="F97" s="4" t="b">
        <v>0</v>
      </c>
      <c r="G97" s="4" t="b">
        <v>0</v>
      </c>
    </row>
    <row r="98" customFormat="false" ht="12.8" hidden="false" customHeight="false" outlineLevel="0" collapsed="false">
      <c r="A98" s="0" t="s">
        <v>338</v>
      </c>
      <c r="B98" s="0" t="s">
        <v>387</v>
      </c>
      <c r="C98" s="0" t="s">
        <v>388</v>
      </c>
      <c r="D98" s="0" t="s">
        <v>389</v>
      </c>
      <c r="E98" s="3" t="s">
        <v>390</v>
      </c>
      <c r="F98" s="4" t="b">
        <v>0</v>
      </c>
      <c r="G98" s="4" t="b">
        <v>0</v>
      </c>
    </row>
    <row r="99" customFormat="false" ht="12.8" hidden="false" customHeight="false" outlineLevel="0" collapsed="false">
      <c r="A99" s="0" t="s">
        <v>338</v>
      </c>
      <c r="B99" s="0" t="s">
        <v>391</v>
      </c>
      <c r="C99" s="0" t="s">
        <v>392</v>
      </c>
      <c r="D99" s="0" t="s">
        <v>393</v>
      </c>
      <c r="E99" s="3" t="s">
        <v>394</v>
      </c>
      <c r="F99" s="4" t="b">
        <v>0</v>
      </c>
      <c r="G99" s="4" t="b">
        <v>0</v>
      </c>
    </row>
    <row r="100" customFormat="false" ht="12.8" hidden="false" customHeight="false" outlineLevel="0" collapsed="false">
      <c r="A100" s="0" t="s">
        <v>338</v>
      </c>
      <c r="B100" s="0" t="s">
        <v>395</v>
      </c>
      <c r="C100" s="0" t="s">
        <v>396</v>
      </c>
      <c r="D100" s="0" t="s">
        <v>397</v>
      </c>
      <c r="E100" s="3" t="s">
        <v>398</v>
      </c>
      <c r="F100" s="4" t="b">
        <v>0</v>
      </c>
      <c r="G100" s="4" t="b">
        <v>0</v>
      </c>
    </row>
    <row r="101" customFormat="false" ht="12.8" hidden="false" customHeight="false" outlineLevel="0" collapsed="false">
      <c r="A101" s="0" t="s">
        <v>399</v>
      </c>
      <c r="B101" s="0" t="s">
        <v>400</v>
      </c>
      <c r="C101" s="0" t="s">
        <v>401</v>
      </c>
      <c r="D101" s="0" t="s">
        <v>402</v>
      </c>
      <c r="E101" s="3" t="s">
        <v>403</v>
      </c>
      <c r="F101" s="4" t="b">
        <v>1</v>
      </c>
      <c r="G101" s="4" t="b">
        <v>1</v>
      </c>
    </row>
    <row r="102" customFormat="false" ht="12.8" hidden="false" customHeight="false" outlineLevel="0" collapsed="false">
      <c r="A102" s="0" t="s">
        <v>399</v>
      </c>
      <c r="B102" s="0" t="s">
        <v>404</v>
      </c>
      <c r="D102" s="0" t="s">
        <v>405</v>
      </c>
      <c r="E102" s="3" t="s">
        <v>406</v>
      </c>
      <c r="F102" s="4" t="b">
        <v>1</v>
      </c>
      <c r="G102" s="4" t="b">
        <v>1</v>
      </c>
    </row>
    <row r="103" customFormat="false" ht="12.8" hidden="false" customHeight="false" outlineLevel="0" collapsed="false">
      <c r="A103" s="0" t="s">
        <v>399</v>
      </c>
      <c r="B103" s="0" t="s">
        <v>407</v>
      </c>
      <c r="D103" s="0" t="s">
        <v>408</v>
      </c>
      <c r="E103" s="3" t="s">
        <v>409</v>
      </c>
      <c r="F103" s="4" t="b">
        <v>1</v>
      </c>
      <c r="G103" s="4" t="b">
        <v>1</v>
      </c>
    </row>
    <row r="104" customFormat="false" ht="12.8" hidden="false" customHeight="false" outlineLevel="0" collapsed="false">
      <c r="A104" s="0" t="s">
        <v>399</v>
      </c>
      <c r="B104" s="0" t="s">
        <v>410</v>
      </c>
      <c r="C104" s="0" t="s">
        <v>411</v>
      </c>
      <c r="D104" s="0" t="s">
        <v>412</v>
      </c>
      <c r="E104" s="3" t="s">
        <v>413</v>
      </c>
      <c r="F104" s="4" t="b">
        <v>1</v>
      </c>
      <c r="G104" s="4" t="b">
        <v>1</v>
      </c>
    </row>
    <row r="105" customFormat="false" ht="12.8" hidden="false" customHeight="false" outlineLevel="0" collapsed="false">
      <c r="A105" s="0" t="s">
        <v>399</v>
      </c>
      <c r="B105" s="0" t="s">
        <v>414</v>
      </c>
      <c r="C105" s="0" t="s">
        <v>415</v>
      </c>
      <c r="D105" s="0" t="s">
        <v>416</v>
      </c>
      <c r="E105" s="3" t="s">
        <v>417</v>
      </c>
      <c r="F105" s="4" t="b">
        <v>0</v>
      </c>
      <c r="G105" s="4" t="b">
        <v>0</v>
      </c>
    </row>
    <row r="106" customFormat="false" ht="12.8" hidden="false" customHeight="false" outlineLevel="0" collapsed="false">
      <c r="A106" s="0" t="s">
        <v>399</v>
      </c>
      <c r="B106" s="0" t="s">
        <v>418</v>
      </c>
      <c r="C106" s="0" t="s">
        <v>419</v>
      </c>
      <c r="D106" s="0" t="s">
        <v>420</v>
      </c>
      <c r="E106" s="3" t="s">
        <v>421</v>
      </c>
      <c r="F106" s="4" t="b">
        <v>1</v>
      </c>
      <c r="G106" s="4" t="b">
        <v>0</v>
      </c>
      <c r="H106" s="0" t="s">
        <v>422</v>
      </c>
    </row>
    <row r="107" customFormat="false" ht="12.8" hidden="false" customHeight="false" outlineLevel="0" collapsed="false">
      <c r="A107" s="0" t="s">
        <v>399</v>
      </c>
      <c r="B107" s="0" t="s">
        <v>423</v>
      </c>
      <c r="C107" s="0" t="s">
        <v>424</v>
      </c>
      <c r="D107" s="0" t="s">
        <v>425</v>
      </c>
      <c r="E107" s="3" t="s">
        <v>426</v>
      </c>
      <c r="F107" s="4" t="b">
        <v>0</v>
      </c>
      <c r="G107" s="4" t="b">
        <v>0</v>
      </c>
    </row>
    <row r="108" customFormat="false" ht="12.8" hidden="false" customHeight="false" outlineLevel="0" collapsed="false">
      <c r="A108" s="0" t="s">
        <v>399</v>
      </c>
      <c r="B108" s="0" t="s">
        <v>427</v>
      </c>
      <c r="C108" s="0" t="s">
        <v>428</v>
      </c>
      <c r="D108" s="0" t="s">
        <v>429</v>
      </c>
      <c r="E108" s="3" t="s">
        <v>430</v>
      </c>
      <c r="F108" s="4" t="b">
        <v>1</v>
      </c>
      <c r="G108" s="4" t="b">
        <v>0</v>
      </c>
    </row>
    <row r="109" customFormat="false" ht="12.8" hidden="false" customHeight="false" outlineLevel="0" collapsed="false">
      <c r="A109" s="0" t="s">
        <v>399</v>
      </c>
      <c r="B109" s="0" t="s">
        <v>431</v>
      </c>
      <c r="D109" s="0" t="s">
        <v>432</v>
      </c>
      <c r="E109" s="3" t="s">
        <v>433</v>
      </c>
      <c r="F109" s="4" t="b">
        <v>1</v>
      </c>
      <c r="G109" s="4" t="b">
        <v>0</v>
      </c>
    </row>
    <row r="110" customFormat="false" ht="12.8" hidden="false" customHeight="false" outlineLevel="0" collapsed="false">
      <c r="A110" s="0" t="s">
        <v>399</v>
      </c>
      <c r="B110" s="0" t="s">
        <v>434</v>
      </c>
      <c r="C110" s="0" t="s">
        <v>435</v>
      </c>
      <c r="D110" s="0" t="s">
        <v>436</v>
      </c>
      <c r="E110" s="3" t="s">
        <v>437</v>
      </c>
      <c r="F110" s="4" t="b">
        <v>0</v>
      </c>
      <c r="G110" s="4" t="b">
        <v>0</v>
      </c>
    </row>
    <row r="111" customFormat="false" ht="12.8" hidden="false" customHeight="false" outlineLevel="0" collapsed="false">
      <c r="A111" s="0" t="s">
        <v>399</v>
      </c>
      <c r="B111" s="0" t="s">
        <v>438</v>
      </c>
      <c r="C111" s="0" t="s">
        <v>439</v>
      </c>
      <c r="D111" s="0" t="s">
        <v>440</v>
      </c>
      <c r="E111" s="3" t="s">
        <v>441</v>
      </c>
      <c r="F111" s="4" t="b">
        <v>0</v>
      </c>
      <c r="G111" s="4" t="b">
        <v>0</v>
      </c>
    </row>
    <row r="112" customFormat="false" ht="12.8" hidden="false" customHeight="false" outlineLevel="0" collapsed="false">
      <c r="A112" s="0" t="s">
        <v>399</v>
      </c>
      <c r="B112" s="0" t="s">
        <v>442</v>
      </c>
      <c r="C112" s="0" t="s">
        <v>443</v>
      </c>
      <c r="D112" s="0" t="s">
        <v>444</v>
      </c>
      <c r="E112" s="3" t="s">
        <v>445</v>
      </c>
      <c r="F112" s="4" t="b">
        <v>0</v>
      </c>
      <c r="G112" s="4" t="b">
        <v>0</v>
      </c>
    </row>
    <row r="113" customFormat="false" ht="12.8" hidden="false" customHeight="false" outlineLevel="0" collapsed="false">
      <c r="A113" s="0" t="s">
        <v>399</v>
      </c>
      <c r="B113" s="0" t="s">
        <v>446</v>
      </c>
      <c r="C113" s="0" t="s">
        <v>447</v>
      </c>
      <c r="D113" s="0" t="s">
        <v>448</v>
      </c>
      <c r="E113" s="3" t="s">
        <v>449</v>
      </c>
      <c r="F113" s="4" t="b">
        <v>0</v>
      </c>
      <c r="G113" s="4" t="b">
        <v>0</v>
      </c>
    </row>
    <row r="114" customFormat="false" ht="12.8" hidden="false" customHeight="false" outlineLevel="0" collapsed="false">
      <c r="A114" s="0" t="s">
        <v>399</v>
      </c>
      <c r="B114" s="0" t="s">
        <v>450</v>
      </c>
      <c r="C114" s="0" t="s">
        <v>451</v>
      </c>
      <c r="D114" s="0" t="s">
        <v>452</v>
      </c>
      <c r="E114" s="3" t="s">
        <v>453</v>
      </c>
      <c r="F114" s="4" t="b">
        <v>0</v>
      </c>
      <c r="G114" s="4" t="b">
        <v>0</v>
      </c>
    </row>
    <row r="115" customFormat="false" ht="12.8" hidden="false" customHeight="false" outlineLevel="0" collapsed="false">
      <c r="A115" s="0" t="s">
        <v>399</v>
      </c>
      <c r="B115" s="0" t="s">
        <v>454</v>
      </c>
      <c r="C115" s="0" t="s">
        <v>455</v>
      </c>
      <c r="D115" s="0" t="s">
        <v>456</v>
      </c>
      <c r="E115" s="3" t="s">
        <v>457</v>
      </c>
      <c r="F115" s="4" t="b">
        <v>0</v>
      </c>
      <c r="G115" s="4" t="b">
        <v>0</v>
      </c>
    </row>
    <row r="116" customFormat="false" ht="12.8" hidden="false" customHeight="false" outlineLevel="0" collapsed="false">
      <c r="A116" s="0" t="s">
        <v>399</v>
      </c>
      <c r="B116" s="0" t="s">
        <v>458</v>
      </c>
      <c r="C116" s="0" t="s">
        <v>459</v>
      </c>
      <c r="D116" s="0" t="s">
        <v>460</v>
      </c>
      <c r="E116" s="3" t="s">
        <v>461</v>
      </c>
      <c r="F116" s="4" t="b">
        <v>0</v>
      </c>
      <c r="G116" s="4" t="b">
        <v>0</v>
      </c>
    </row>
    <row r="117" customFormat="false" ht="12.8" hidden="false" customHeight="false" outlineLevel="0" collapsed="false">
      <c r="A117" s="0" t="s">
        <v>399</v>
      </c>
      <c r="B117" s="0" t="s">
        <v>462</v>
      </c>
      <c r="D117" s="0" t="s">
        <v>463</v>
      </c>
      <c r="E117" s="3" t="s">
        <v>464</v>
      </c>
      <c r="F117" s="4" t="b">
        <v>0</v>
      </c>
      <c r="G117" s="4" t="b">
        <v>0</v>
      </c>
    </row>
    <row r="118" customFormat="false" ht="12.8" hidden="false" customHeight="false" outlineLevel="0" collapsed="false">
      <c r="A118" s="0" t="s">
        <v>399</v>
      </c>
      <c r="B118" s="0" t="s">
        <v>465</v>
      </c>
      <c r="C118" s="0" t="s">
        <v>466</v>
      </c>
      <c r="D118" s="0" t="s">
        <v>467</v>
      </c>
      <c r="E118" s="3" t="s">
        <v>468</v>
      </c>
      <c r="F118" s="4" t="b">
        <v>0</v>
      </c>
      <c r="G118" s="4" t="b">
        <v>0</v>
      </c>
    </row>
    <row r="119" customFormat="false" ht="12.8" hidden="false" customHeight="false" outlineLevel="0" collapsed="false">
      <c r="A119" s="0" t="s">
        <v>399</v>
      </c>
      <c r="B119" s="0" t="s">
        <v>469</v>
      </c>
      <c r="C119" s="0" t="s">
        <v>470</v>
      </c>
      <c r="D119" s="0" t="s">
        <v>471</v>
      </c>
      <c r="E119" s="3" t="s">
        <v>472</v>
      </c>
      <c r="F119" s="4" t="b">
        <v>1</v>
      </c>
      <c r="G119" s="4" t="b">
        <v>1</v>
      </c>
    </row>
    <row r="120" customFormat="false" ht="12.8" hidden="false" customHeight="false" outlineLevel="0" collapsed="false">
      <c r="A120" s="0" t="s">
        <v>399</v>
      </c>
      <c r="B120" s="0" t="s">
        <v>473</v>
      </c>
      <c r="C120" s="0" t="s">
        <v>474</v>
      </c>
      <c r="D120" s="0" t="s">
        <v>475</v>
      </c>
      <c r="E120" s="3" t="s">
        <v>476</v>
      </c>
      <c r="F120" s="4" t="b">
        <v>0</v>
      </c>
      <c r="G120" s="4" t="b">
        <v>0</v>
      </c>
    </row>
    <row r="121" customFormat="false" ht="12.8" hidden="false" customHeight="false" outlineLevel="0" collapsed="false">
      <c r="A121" s="0" t="s">
        <v>399</v>
      </c>
      <c r="B121" s="0" t="s">
        <v>477</v>
      </c>
      <c r="C121" s="0" t="s">
        <v>478</v>
      </c>
      <c r="D121" s="0" t="s">
        <v>479</v>
      </c>
      <c r="E121" s="3" t="s">
        <v>480</v>
      </c>
      <c r="F121" s="4" t="b">
        <v>1</v>
      </c>
      <c r="G121" s="4" t="b">
        <v>1</v>
      </c>
    </row>
    <row r="122" customFormat="false" ht="12.8" hidden="false" customHeight="false" outlineLevel="0" collapsed="false">
      <c r="A122" s="0" t="s">
        <v>399</v>
      </c>
      <c r="B122" s="0" t="s">
        <v>481</v>
      </c>
      <c r="C122" s="0" t="s">
        <v>482</v>
      </c>
      <c r="D122" s="0" t="s">
        <v>483</v>
      </c>
      <c r="E122" s="3" t="s">
        <v>484</v>
      </c>
      <c r="F122" s="4" t="b">
        <v>1</v>
      </c>
      <c r="G122" s="4" t="b">
        <v>1</v>
      </c>
    </row>
    <row r="123" customFormat="false" ht="12.8" hidden="false" customHeight="false" outlineLevel="0" collapsed="false">
      <c r="A123" s="0" t="s">
        <v>399</v>
      </c>
      <c r="B123" s="0" t="s">
        <v>485</v>
      </c>
      <c r="C123" s="0" t="s">
        <v>486</v>
      </c>
      <c r="D123" s="0" t="s">
        <v>487</v>
      </c>
      <c r="E123" s="3" t="s">
        <v>488</v>
      </c>
      <c r="F123" s="4" t="b">
        <v>0</v>
      </c>
      <c r="G123" s="4" t="b">
        <v>0</v>
      </c>
    </row>
    <row r="124" customFormat="false" ht="12.8" hidden="false" customHeight="false" outlineLevel="0" collapsed="false">
      <c r="A124" s="0" t="s">
        <v>399</v>
      </c>
      <c r="B124" s="0" t="s">
        <v>489</v>
      </c>
      <c r="D124" s="0" t="s">
        <v>490</v>
      </c>
      <c r="E124" s="3" t="s">
        <v>491</v>
      </c>
      <c r="F124" s="4" t="b">
        <v>1</v>
      </c>
      <c r="G124" s="4" t="b">
        <v>1</v>
      </c>
    </row>
    <row r="125" customFormat="false" ht="12.8" hidden="false" customHeight="false" outlineLevel="0" collapsed="false">
      <c r="A125" s="0" t="s">
        <v>399</v>
      </c>
      <c r="B125" s="0" t="s">
        <v>492</v>
      </c>
      <c r="C125" s="0" t="s">
        <v>493</v>
      </c>
      <c r="D125" s="0" t="s">
        <v>494</v>
      </c>
      <c r="E125" s="3" t="s">
        <v>495</v>
      </c>
      <c r="F125" s="4" t="b">
        <v>1</v>
      </c>
      <c r="G125" s="4" t="b">
        <v>1</v>
      </c>
    </row>
    <row r="126" customFormat="false" ht="12.8" hidden="false" customHeight="false" outlineLevel="0" collapsed="false">
      <c r="A126" s="0" t="s">
        <v>399</v>
      </c>
      <c r="B126" s="0" t="s">
        <v>496</v>
      </c>
      <c r="C126" s="0" t="s">
        <v>497</v>
      </c>
      <c r="D126" s="0" t="s">
        <v>498</v>
      </c>
      <c r="E126" s="3" t="s">
        <v>499</v>
      </c>
      <c r="F126" s="4" t="b">
        <v>0</v>
      </c>
      <c r="G126" s="4" t="b">
        <v>0</v>
      </c>
    </row>
    <row r="127" customFormat="false" ht="12.8" hidden="false" customHeight="false" outlineLevel="0" collapsed="false">
      <c r="A127" s="0" t="s">
        <v>399</v>
      </c>
      <c r="B127" s="0" t="s">
        <v>500</v>
      </c>
      <c r="C127" s="0" t="s">
        <v>501</v>
      </c>
      <c r="D127" s="0" t="s">
        <v>502</v>
      </c>
      <c r="E127" s="3" t="s">
        <v>503</v>
      </c>
      <c r="F127" s="4" t="b">
        <v>0</v>
      </c>
      <c r="G127" s="4" t="b">
        <v>1</v>
      </c>
    </row>
    <row r="128" customFormat="false" ht="12.8" hidden="false" customHeight="false" outlineLevel="0" collapsed="false">
      <c r="A128" s="0" t="s">
        <v>399</v>
      </c>
      <c r="B128" s="0" t="s">
        <v>504</v>
      </c>
      <c r="C128" s="0" t="s">
        <v>505</v>
      </c>
      <c r="D128" s="0" t="s">
        <v>506</v>
      </c>
      <c r="E128" s="3" t="s">
        <v>507</v>
      </c>
      <c r="F128" s="4" t="b">
        <v>0</v>
      </c>
      <c r="G128" s="4" t="b">
        <v>0</v>
      </c>
    </row>
    <row r="129" customFormat="false" ht="12.8" hidden="false" customHeight="false" outlineLevel="0" collapsed="false">
      <c r="A129" s="0" t="s">
        <v>399</v>
      </c>
      <c r="B129" s="0" t="s">
        <v>508</v>
      </c>
      <c r="C129" s="0" t="s">
        <v>509</v>
      </c>
      <c r="D129" s="0" t="s">
        <v>510</v>
      </c>
      <c r="E129" s="3" t="s">
        <v>511</v>
      </c>
      <c r="F129" s="4" t="b">
        <v>0</v>
      </c>
      <c r="G129" s="4" t="b">
        <v>1</v>
      </c>
    </row>
    <row r="130" customFormat="false" ht="12.8" hidden="false" customHeight="false" outlineLevel="0" collapsed="false">
      <c r="A130" s="0" t="s">
        <v>399</v>
      </c>
      <c r="B130" s="0" t="s">
        <v>512</v>
      </c>
      <c r="C130" s="0" t="s">
        <v>513</v>
      </c>
      <c r="D130" s="0" t="s">
        <v>514</v>
      </c>
      <c r="E130" s="3" t="s">
        <v>515</v>
      </c>
      <c r="F130" s="4" t="b">
        <v>0</v>
      </c>
      <c r="G130" s="4" t="b">
        <v>0</v>
      </c>
    </row>
    <row r="131" customFormat="false" ht="12.8" hidden="false" customHeight="false" outlineLevel="0" collapsed="false">
      <c r="A131" s="0" t="s">
        <v>399</v>
      </c>
      <c r="B131" s="0" t="s">
        <v>516</v>
      </c>
      <c r="C131" s="0" t="s">
        <v>517</v>
      </c>
      <c r="D131" s="0" t="s">
        <v>518</v>
      </c>
      <c r="E131" s="3" t="s">
        <v>519</v>
      </c>
      <c r="F131" s="4" t="b">
        <v>0</v>
      </c>
      <c r="G131" s="4" t="b">
        <v>0</v>
      </c>
    </row>
    <row r="132" customFormat="false" ht="12.8" hidden="false" customHeight="false" outlineLevel="0" collapsed="false">
      <c r="A132" s="0" t="s">
        <v>399</v>
      </c>
      <c r="B132" s="0" t="s">
        <v>520</v>
      </c>
      <c r="C132" s="0" t="s">
        <v>521</v>
      </c>
      <c r="D132" s="0" t="s">
        <v>522</v>
      </c>
      <c r="E132" s="3" t="s">
        <v>523</v>
      </c>
      <c r="F132" s="4" t="b">
        <v>1</v>
      </c>
      <c r="G132" s="4" t="b">
        <v>0</v>
      </c>
    </row>
    <row r="133" customFormat="false" ht="12.8" hidden="false" customHeight="false" outlineLevel="0" collapsed="false">
      <c r="A133" s="0" t="s">
        <v>399</v>
      </c>
      <c r="B133" s="0" t="s">
        <v>524</v>
      </c>
      <c r="C133" s="0" t="s">
        <v>525</v>
      </c>
      <c r="D133" s="0" t="s">
        <v>526</v>
      </c>
      <c r="E133" s="3" t="s">
        <v>527</v>
      </c>
      <c r="F133" s="4" t="b">
        <v>0</v>
      </c>
      <c r="G133" s="4" t="b">
        <v>0</v>
      </c>
    </row>
    <row r="134" customFormat="false" ht="12.8" hidden="false" customHeight="false" outlineLevel="0" collapsed="false">
      <c r="A134" s="0" t="s">
        <v>399</v>
      </c>
      <c r="B134" s="0" t="s">
        <v>528</v>
      </c>
      <c r="C134" s="0" t="s">
        <v>529</v>
      </c>
      <c r="D134" s="0" t="s">
        <v>530</v>
      </c>
      <c r="E134" s="3" t="s">
        <v>531</v>
      </c>
      <c r="F134" s="4" t="b">
        <v>0</v>
      </c>
      <c r="G134" s="4" t="b">
        <v>0</v>
      </c>
    </row>
    <row r="135" customFormat="false" ht="12.8" hidden="false" customHeight="false" outlineLevel="0" collapsed="false">
      <c r="A135" s="0" t="s">
        <v>399</v>
      </c>
      <c r="B135" s="0" t="s">
        <v>532</v>
      </c>
      <c r="C135" s="0" t="s">
        <v>533</v>
      </c>
      <c r="D135" s="0" t="s">
        <v>534</v>
      </c>
      <c r="E135" s="3" t="s">
        <v>535</v>
      </c>
      <c r="F135" s="4" t="b">
        <v>0</v>
      </c>
      <c r="G135" s="4" t="b">
        <v>0</v>
      </c>
      <c r="H135" s="0" t="s">
        <v>536</v>
      </c>
    </row>
    <row r="136" customFormat="false" ht="12.8" hidden="false" customHeight="false" outlineLevel="0" collapsed="false">
      <c r="A136" s="0" t="s">
        <v>399</v>
      </c>
      <c r="B136" s="0" t="s">
        <v>537</v>
      </c>
      <c r="C136" s="0" t="s">
        <v>538</v>
      </c>
      <c r="D136" s="0" t="s">
        <v>539</v>
      </c>
      <c r="E136" s="3" t="s">
        <v>540</v>
      </c>
      <c r="F136" s="4" t="b">
        <v>0</v>
      </c>
      <c r="G136" s="4" t="b">
        <v>0</v>
      </c>
    </row>
    <row r="137" customFormat="false" ht="12.8" hidden="false" customHeight="false" outlineLevel="0" collapsed="false">
      <c r="A137" s="0" t="s">
        <v>399</v>
      </c>
      <c r="B137" s="0" t="s">
        <v>541</v>
      </c>
      <c r="C137" s="0" t="s">
        <v>542</v>
      </c>
      <c r="D137" s="0" t="s">
        <v>543</v>
      </c>
      <c r="E137" s="3" t="s">
        <v>544</v>
      </c>
      <c r="F137" s="4" t="b">
        <v>0</v>
      </c>
      <c r="G137" s="4" t="b">
        <v>0</v>
      </c>
    </row>
    <row r="138" customFormat="false" ht="12.8" hidden="false" customHeight="false" outlineLevel="0" collapsed="false">
      <c r="A138" s="0" t="s">
        <v>399</v>
      </c>
      <c r="B138" s="0" t="s">
        <v>545</v>
      </c>
      <c r="C138" s="0" t="s">
        <v>546</v>
      </c>
      <c r="D138" s="0" t="s">
        <v>547</v>
      </c>
      <c r="E138" s="3" t="s">
        <v>548</v>
      </c>
      <c r="F138" s="4" t="b">
        <v>0</v>
      </c>
      <c r="G138" s="4" t="b">
        <v>0</v>
      </c>
    </row>
    <row r="139" customFormat="false" ht="12.8" hidden="false" customHeight="false" outlineLevel="0" collapsed="false">
      <c r="A139" s="0" t="s">
        <v>399</v>
      </c>
      <c r="B139" s="0" t="s">
        <v>549</v>
      </c>
      <c r="C139" s="0" t="s">
        <v>550</v>
      </c>
      <c r="D139" s="0" t="s">
        <v>551</v>
      </c>
      <c r="E139" s="3" t="s">
        <v>552</v>
      </c>
      <c r="F139" s="4" t="b">
        <v>0</v>
      </c>
      <c r="G139" s="4" t="b">
        <v>0</v>
      </c>
    </row>
    <row r="140" customFormat="false" ht="12.8" hidden="false" customHeight="false" outlineLevel="0" collapsed="false">
      <c r="A140" s="0" t="s">
        <v>399</v>
      </c>
      <c r="B140" s="0" t="s">
        <v>553</v>
      </c>
      <c r="C140" s="0" t="s">
        <v>554</v>
      </c>
      <c r="D140" s="0" t="s">
        <v>555</v>
      </c>
      <c r="E140" s="3" t="s">
        <v>556</v>
      </c>
      <c r="F140" s="4" t="b">
        <v>0</v>
      </c>
      <c r="G140" s="4" t="b">
        <v>0</v>
      </c>
    </row>
    <row r="141" customFormat="false" ht="12.8" hidden="false" customHeight="false" outlineLevel="0" collapsed="false">
      <c r="A141" s="0" t="s">
        <v>399</v>
      </c>
      <c r="B141" s="0" t="s">
        <v>557</v>
      </c>
      <c r="C141" s="0" t="s">
        <v>558</v>
      </c>
      <c r="D141" s="0" t="s">
        <v>559</v>
      </c>
      <c r="E141" s="3" t="s">
        <v>560</v>
      </c>
      <c r="F141" s="4" t="b">
        <v>0</v>
      </c>
      <c r="G141" s="4" t="b">
        <v>0</v>
      </c>
    </row>
    <row r="142" customFormat="false" ht="12.8" hidden="false" customHeight="false" outlineLevel="0" collapsed="false">
      <c r="A142" s="0" t="s">
        <v>399</v>
      </c>
      <c r="B142" s="0" t="s">
        <v>561</v>
      </c>
      <c r="C142" s="0" t="s">
        <v>562</v>
      </c>
      <c r="D142" s="0" t="s">
        <v>563</v>
      </c>
      <c r="E142" s="3" t="s">
        <v>564</v>
      </c>
      <c r="F142" s="4" t="b">
        <v>0</v>
      </c>
      <c r="G142" s="4" t="b">
        <v>0</v>
      </c>
    </row>
    <row r="143" customFormat="false" ht="12.8" hidden="false" customHeight="false" outlineLevel="0" collapsed="false">
      <c r="A143" s="0" t="s">
        <v>399</v>
      </c>
      <c r="B143" s="0" t="s">
        <v>565</v>
      </c>
      <c r="C143" s="0" t="s">
        <v>566</v>
      </c>
      <c r="D143" s="0" t="s">
        <v>567</v>
      </c>
      <c r="E143" s="3" t="s">
        <v>568</v>
      </c>
      <c r="F143" s="4" t="b">
        <v>1</v>
      </c>
      <c r="G143" s="4" t="b">
        <v>0</v>
      </c>
    </row>
    <row r="144" customFormat="false" ht="12.8" hidden="false" customHeight="false" outlineLevel="0" collapsed="false">
      <c r="A144" s="0" t="s">
        <v>399</v>
      </c>
      <c r="B144" s="0" t="s">
        <v>569</v>
      </c>
      <c r="C144" s="0" t="s">
        <v>570</v>
      </c>
      <c r="D144" s="0" t="s">
        <v>16</v>
      </c>
      <c r="E144" s="3" t="s">
        <v>571</v>
      </c>
      <c r="F144" s="4" t="b">
        <v>0</v>
      </c>
      <c r="G144" s="4" t="b">
        <v>0</v>
      </c>
    </row>
    <row r="145" customFormat="false" ht="12.8" hidden="false" customHeight="false" outlineLevel="0" collapsed="false">
      <c r="A145" s="0" t="s">
        <v>399</v>
      </c>
      <c r="B145" s="0" t="s">
        <v>572</v>
      </c>
      <c r="C145" s="0" t="s">
        <v>573</v>
      </c>
      <c r="D145" s="0" t="s">
        <v>574</v>
      </c>
      <c r="E145" s="3" t="s">
        <v>575</v>
      </c>
      <c r="F145" s="4" t="b">
        <v>0</v>
      </c>
      <c r="G145" s="4" t="b">
        <v>0</v>
      </c>
    </row>
    <row r="146" customFormat="false" ht="12.8" hidden="false" customHeight="false" outlineLevel="0" collapsed="false">
      <c r="A146" s="0" t="s">
        <v>399</v>
      </c>
      <c r="B146" s="0" t="s">
        <v>576</v>
      </c>
      <c r="C146" s="0" t="s">
        <v>577</v>
      </c>
      <c r="D146" s="0" t="s">
        <v>578</v>
      </c>
      <c r="E146" s="3" t="s">
        <v>579</v>
      </c>
      <c r="F146" s="4" t="b">
        <v>0</v>
      </c>
      <c r="G146" s="4" t="b">
        <v>0</v>
      </c>
    </row>
    <row r="147" customFormat="false" ht="12.8" hidden="false" customHeight="false" outlineLevel="0" collapsed="false">
      <c r="A147" s="0" t="s">
        <v>399</v>
      </c>
      <c r="B147" s="0" t="s">
        <v>580</v>
      </c>
      <c r="C147" s="0" t="s">
        <v>581</v>
      </c>
      <c r="D147" s="0" t="s">
        <v>582</v>
      </c>
      <c r="E147" s="3" t="s">
        <v>583</v>
      </c>
      <c r="F147" s="4" t="b">
        <v>0</v>
      </c>
      <c r="G147" s="4" t="b">
        <v>0</v>
      </c>
    </row>
    <row r="148" customFormat="false" ht="12.8" hidden="false" customHeight="false" outlineLevel="0" collapsed="false">
      <c r="A148" s="0" t="s">
        <v>399</v>
      </c>
      <c r="B148" s="0" t="s">
        <v>584</v>
      </c>
      <c r="C148" s="0" t="s">
        <v>585</v>
      </c>
      <c r="D148" s="0" t="s">
        <v>586</v>
      </c>
      <c r="E148" s="3" t="s">
        <v>587</v>
      </c>
      <c r="F148" s="4" t="b">
        <v>0</v>
      </c>
      <c r="G148" s="4" t="b">
        <v>0</v>
      </c>
    </row>
    <row r="149" customFormat="false" ht="12.8" hidden="false" customHeight="false" outlineLevel="0" collapsed="false">
      <c r="A149" s="0" t="s">
        <v>399</v>
      </c>
      <c r="B149" s="0" t="s">
        <v>588</v>
      </c>
      <c r="C149" s="0" t="s">
        <v>589</v>
      </c>
      <c r="D149" s="0" t="s">
        <v>590</v>
      </c>
      <c r="E149" s="3" t="s">
        <v>591</v>
      </c>
      <c r="F149" s="4" t="b">
        <v>0</v>
      </c>
      <c r="G149" s="4" t="b">
        <v>0</v>
      </c>
    </row>
    <row r="150" customFormat="false" ht="12.8" hidden="false" customHeight="false" outlineLevel="0" collapsed="false">
      <c r="A150" s="0" t="s">
        <v>399</v>
      </c>
      <c r="B150" s="0" t="s">
        <v>592</v>
      </c>
      <c r="C150" s="0" t="s">
        <v>593</v>
      </c>
      <c r="D150" s="0" t="s">
        <v>594</v>
      </c>
      <c r="E150" s="3" t="s">
        <v>595</v>
      </c>
      <c r="F150" s="4" t="b">
        <v>0</v>
      </c>
      <c r="G150" s="4" t="b">
        <v>0</v>
      </c>
    </row>
    <row r="151" customFormat="false" ht="12.8" hidden="false" customHeight="false" outlineLevel="0" collapsed="false">
      <c r="A151" s="0" t="s">
        <v>399</v>
      </c>
      <c r="B151" s="0" t="s">
        <v>596</v>
      </c>
      <c r="C151" s="0" t="s">
        <v>597</v>
      </c>
      <c r="D151" s="0" t="s">
        <v>598</v>
      </c>
      <c r="E151" s="3" t="s">
        <v>599</v>
      </c>
      <c r="F151" s="4" t="b">
        <v>0</v>
      </c>
      <c r="G151" s="4" t="b">
        <v>0</v>
      </c>
    </row>
    <row r="152" customFormat="false" ht="12.8" hidden="false" customHeight="false" outlineLevel="0" collapsed="false">
      <c r="A152" s="0" t="s">
        <v>399</v>
      </c>
      <c r="B152" s="0" t="s">
        <v>600</v>
      </c>
      <c r="C152" s="0" t="s">
        <v>601</v>
      </c>
      <c r="D152" s="0" t="s">
        <v>602</v>
      </c>
      <c r="E152" s="3" t="s">
        <v>603</v>
      </c>
      <c r="F152" s="4" t="b">
        <v>0</v>
      </c>
      <c r="G152" s="4" t="b">
        <v>0</v>
      </c>
    </row>
    <row r="153" customFormat="false" ht="12.8" hidden="false" customHeight="false" outlineLevel="0" collapsed="false">
      <c r="A153" s="0" t="s">
        <v>399</v>
      </c>
      <c r="B153" s="0" t="s">
        <v>604</v>
      </c>
      <c r="C153" s="0" t="s">
        <v>605</v>
      </c>
      <c r="D153" s="0" t="s">
        <v>606</v>
      </c>
      <c r="E153" s="3" t="s">
        <v>607</v>
      </c>
      <c r="F153" s="4" t="b">
        <v>0</v>
      </c>
      <c r="G153" s="4" t="b">
        <v>0</v>
      </c>
    </row>
    <row r="154" customFormat="false" ht="12.8" hidden="false" customHeight="false" outlineLevel="0" collapsed="false">
      <c r="A154" s="0" t="s">
        <v>399</v>
      </c>
      <c r="B154" s="0" t="s">
        <v>608</v>
      </c>
      <c r="C154" s="0" t="s">
        <v>609</v>
      </c>
      <c r="D154" s="0" t="s">
        <v>610</v>
      </c>
      <c r="E154" s="3" t="s">
        <v>611</v>
      </c>
      <c r="F154" s="4" t="b">
        <v>0</v>
      </c>
      <c r="G154" s="4" t="b">
        <v>0</v>
      </c>
    </row>
    <row r="155" customFormat="false" ht="12.8" hidden="false" customHeight="false" outlineLevel="0" collapsed="false">
      <c r="A155" s="0" t="s">
        <v>399</v>
      </c>
      <c r="B155" s="0" t="s">
        <v>612</v>
      </c>
      <c r="C155" s="0" t="s">
        <v>613</v>
      </c>
      <c r="D155" s="0" t="s">
        <v>614</v>
      </c>
      <c r="E155" s="3" t="s">
        <v>615</v>
      </c>
      <c r="F155" s="4" t="b">
        <v>0</v>
      </c>
      <c r="G155" s="4" t="b">
        <v>0</v>
      </c>
    </row>
    <row r="156" customFormat="false" ht="12.8" hidden="false" customHeight="false" outlineLevel="0" collapsed="false">
      <c r="A156" s="0" t="s">
        <v>399</v>
      </c>
      <c r="B156" s="0" t="s">
        <v>616</v>
      </c>
      <c r="C156" s="0" t="s">
        <v>617</v>
      </c>
      <c r="D156" s="0" t="s">
        <v>618</v>
      </c>
      <c r="E156" s="3" t="s">
        <v>619</v>
      </c>
      <c r="F156" s="4" t="b">
        <v>0</v>
      </c>
      <c r="G156" s="4" t="b">
        <v>0</v>
      </c>
    </row>
    <row r="157" customFormat="false" ht="12.8" hidden="false" customHeight="false" outlineLevel="0" collapsed="false">
      <c r="A157" s="0" t="s">
        <v>399</v>
      </c>
      <c r="B157" s="0" t="s">
        <v>620</v>
      </c>
      <c r="C157" s="0" t="s">
        <v>621</v>
      </c>
      <c r="D157" s="0" t="s">
        <v>622</v>
      </c>
      <c r="E157" s="3" t="s">
        <v>623</v>
      </c>
      <c r="F157" s="4" t="b">
        <v>0</v>
      </c>
      <c r="G157" s="4" t="b">
        <v>0</v>
      </c>
    </row>
    <row r="158" customFormat="false" ht="12.8" hidden="false" customHeight="false" outlineLevel="0" collapsed="false">
      <c r="A158" s="0" t="s">
        <v>399</v>
      </c>
      <c r="B158" s="0" t="s">
        <v>624</v>
      </c>
      <c r="C158" s="0" t="s">
        <v>625</v>
      </c>
      <c r="D158" s="0" t="s">
        <v>626</v>
      </c>
      <c r="E158" s="3" t="s">
        <v>627</v>
      </c>
      <c r="F158" s="4" t="b">
        <v>0</v>
      </c>
      <c r="G158" s="4" t="b">
        <v>0</v>
      </c>
    </row>
    <row r="159" customFormat="false" ht="12.8" hidden="false" customHeight="false" outlineLevel="0" collapsed="false">
      <c r="A159" s="0" t="s">
        <v>399</v>
      </c>
      <c r="B159" s="0" t="s">
        <v>628</v>
      </c>
      <c r="C159" s="0" t="s">
        <v>629</v>
      </c>
      <c r="D159" s="0" t="s">
        <v>630</v>
      </c>
      <c r="E159" s="3" t="s">
        <v>631</v>
      </c>
      <c r="F159" s="4" t="b">
        <v>0</v>
      </c>
      <c r="G159" s="4" t="b">
        <v>0</v>
      </c>
    </row>
    <row r="160" customFormat="false" ht="12.8" hidden="false" customHeight="false" outlineLevel="0" collapsed="false">
      <c r="A160" s="0" t="s">
        <v>399</v>
      </c>
      <c r="B160" s="0" t="s">
        <v>632</v>
      </c>
      <c r="C160" s="0" t="s">
        <v>633</v>
      </c>
      <c r="D160" s="0" t="s">
        <v>634</v>
      </c>
      <c r="E160" s="3" t="s">
        <v>635</v>
      </c>
      <c r="F160" s="4" t="b">
        <v>0</v>
      </c>
      <c r="G160" s="4" t="b">
        <v>0</v>
      </c>
    </row>
    <row r="161" customFormat="false" ht="12.8" hidden="false" customHeight="false" outlineLevel="0" collapsed="false">
      <c r="A161" s="0" t="s">
        <v>399</v>
      </c>
      <c r="B161" s="0" t="s">
        <v>636</v>
      </c>
      <c r="C161" s="0" t="s">
        <v>637</v>
      </c>
      <c r="D161" s="0" t="s">
        <v>638</v>
      </c>
      <c r="E161" s="3" t="s">
        <v>639</v>
      </c>
      <c r="F161" s="4" t="b">
        <v>0</v>
      </c>
      <c r="G161" s="4" t="b">
        <v>0</v>
      </c>
    </row>
    <row r="162" customFormat="false" ht="12.8" hidden="false" customHeight="false" outlineLevel="0" collapsed="false">
      <c r="A162" s="0" t="s">
        <v>399</v>
      </c>
      <c r="B162" s="0" t="s">
        <v>640</v>
      </c>
      <c r="C162" s="0" t="s">
        <v>641</v>
      </c>
      <c r="D162" s="0" t="s">
        <v>642</v>
      </c>
      <c r="E162" s="3" t="s">
        <v>643</v>
      </c>
      <c r="F162" s="4" t="b">
        <v>0</v>
      </c>
      <c r="G162" s="4" t="b">
        <v>0</v>
      </c>
    </row>
    <row r="163" customFormat="false" ht="12.8" hidden="false" customHeight="false" outlineLevel="0" collapsed="false">
      <c r="A163" s="0" t="s">
        <v>399</v>
      </c>
      <c r="B163" s="0" t="s">
        <v>644</v>
      </c>
      <c r="C163" s="0" t="s">
        <v>645</v>
      </c>
      <c r="D163" s="0" t="s">
        <v>646</v>
      </c>
      <c r="E163" s="3" t="s">
        <v>647</v>
      </c>
      <c r="F163" s="4" t="b">
        <v>0</v>
      </c>
      <c r="G163" s="4" t="b">
        <v>0</v>
      </c>
    </row>
    <row r="164" customFormat="false" ht="12.8" hidden="false" customHeight="false" outlineLevel="0" collapsed="false">
      <c r="A164" s="0" t="s">
        <v>399</v>
      </c>
      <c r="B164" s="0" t="s">
        <v>648</v>
      </c>
      <c r="C164" s="0" t="s">
        <v>649</v>
      </c>
      <c r="D164" s="0" t="s">
        <v>650</v>
      </c>
      <c r="E164" s="3" t="s">
        <v>651</v>
      </c>
      <c r="F164" s="4" t="b">
        <v>0</v>
      </c>
      <c r="G164" s="4" t="b">
        <v>0</v>
      </c>
    </row>
    <row r="165" customFormat="false" ht="12.8" hidden="false" customHeight="false" outlineLevel="0" collapsed="false">
      <c r="A165" s="0" t="s">
        <v>399</v>
      </c>
      <c r="B165" s="0" t="s">
        <v>652</v>
      </c>
      <c r="C165" s="0" t="s">
        <v>653</v>
      </c>
      <c r="D165" s="0" t="s">
        <v>654</v>
      </c>
      <c r="E165" s="3" t="s">
        <v>655</v>
      </c>
      <c r="F165" s="4" t="b">
        <v>0</v>
      </c>
      <c r="G165" s="4" t="b">
        <v>0</v>
      </c>
    </row>
    <row r="166" customFormat="false" ht="12.8" hidden="false" customHeight="false" outlineLevel="0" collapsed="false">
      <c r="A166" s="0" t="s">
        <v>399</v>
      </c>
      <c r="B166" s="0" t="s">
        <v>656</v>
      </c>
      <c r="C166" s="0" t="s">
        <v>657</v>
      </c>
      <c r="D166" s="0" t="s">
        <v>658</v>
      </c>
      <c r="E166" s="3" t="s">
        <v>659</v>
      </c>
      <c r="F166" s="4" t="b">
        <v>0</v>
      </c>
      <c r="G166" s="4" t="b">
        <v>0</v>
      </c>
    </row>
    <row r="167" customFormat="false" ht="12.8" hidden="false" customHeight="false" outlineLevel="0" collapsed="false">
      <c r="A167" s="0" t="s">
        <v>399</v>
      </c>
      <c r="B167" s="0" t="s">
        <v>660</v>
      </c>
      <c r="C167" s="0" t="s">
        <v>661</v>
      </c>
      <c r="D167" s="0" t="s">
        <v>662</v>
      </c>
      <c r="E167" s="3" t="s">
        <v>663</v>
      </c>
      <c r="F167" s="4" t="b">
        <v>0</v>
      </c>
      <c r="G167" s="4" t="b">
        <v>0</v>
      </c>
    </row>
    <row r="168" customFormat="false" ht="12.8" hidden="false" customHeight="false" outlineLevel="0" collapsed="false">
      <c r="A168" s="0" t="s">
        <v>399</v>
      </c>
      <c r="B168" s="0" t="s">
        <v>664</v>
      </c>
      <c r="C168" s="0" t="s">
        <v>665</v>
      </c>
      <c r="D168" s="0" t="s">
        <v>666</v>
      </c>
      <c r="E168" s="3" t="s">
        <v>667</v>
      </c>
      <c r="F168" s="4" t="b">
        <v>0</v>
      </c>
      <c r="G168" s="4" t="b">
        <v>0</v>
      </c>
    </row>
    <row r="169" customFormat="false" ht="12.8" hidden="false" customHeight="false" outlineLevel="0" collapsed="false">
      <c r="A169" s="0" t="s">
        <v>399</v>
      </c>
      <c r="B169" s="0" t="s">
        <v>668</v>
      </c>
      <c r="C169" s="0" t="s">
        <v>669</v>
      </c>
      <c r="D169" s="0" t="s">
        <v>670</v>
      </c>
      <c r="E169" s="3" t="s">
        <v>671</v>
      </c>
      <c r="F169" s="4" t="b">
        <v>0</v>
      </c>
      <c r="G169" s="4" t="b">
        <v>0</v>
      </c>
    </row>
    <row r="170" customFormat="false" ht="12.8" hidden="false" customHeight="false" outlineLevel="0" collapsed="false">
      <c r="A170" s="0" t="s">
        <v>399</v>
      </c>
      <c r="B170" s="0" t="s">
        <v>672</v>
      </c>
      <c r="C170" s="0" t="s">
        <v>673</v>
      </c>
      <c r="D170" s="0" t="s">
        <v>674</v>
      </c>
      <c r="E170" s="3" t="s">
        <v>675</v>
      </c>
      <c r="F170" s="4" t="b">
        <v>0</v>
      </c>
      <c r="G170" s="4" t="b">
        <v>0</v>
      </c>
    </row>
    <row r="171" customFormat="false" ht="12.8" hidden="false" customHeight="false" outlineLevel="0" collapsed="false">
      <c r="A171" s="0" t="s">
        <v>399</v>
      </c>
      <c r="B171" s="0" t="s">
        <v>676</v>
      </c>
      <c r="C171" s="0" t="s">
        <v>677</v>
      </c>
      <c r="D171" s="0" t="s">
        <v>678</v>
      </c>
      <c r="E171" s="3" t="s">
        <v>679</v>
      </c>
      <c r="F171" s="4" t="b">
        <v>0</v>
      </c>
      <c r="G171" s="4" t="b">
        <v>0</v>
      </c>
    </row>
    <row r="172" customFormat="false" ht="12.8" hidden="false" customHeight="false" outlineLevel="0" collapsed="false">
      <c r="A172" s="0" t="s">
        <v>399</v>
      </c>
      <c r="B172" s="0" t="s">
        <v>680</v>
      </c>
      <c r="C172" s="0" t="s">
        <v>681</v>
      </c>
      <c r="D172" s="0" t="s">
        <v>682</v>
      </c>
      <c r="E172" s="3" t="s">
        <v>683</v>
      </c>
      <c r="F172" s="4" t="b">
        <v>0</v>
      </c>
      <c r="G172" s="4" t="b">
        <v>0</v>
      </c>
    </row>
    <row r="173" customFormat="false" ht="12.8" hidden="false" customHeight="false" outlineLevel="0" collapsed="false">
      <c r="A173" s="0" t="s">
        <v>399</v>
      </c>
      <c r="B173" s="0" t="s">
        <v>684</v>
      </c>
      <c r="C173" s="0" t="s">
        <v>685</v>
      </c>
      <c r="D173" s="0" t="s">
        <v>686</v>
      </c>
      <c r="E173" s="3" t="s">
        <v>687</v>
      </c>
      <c r="F173" s="4" t="b">
        <v>0</v>
      </c>
      <c r="G173" s="4" t="b">
        <v>0</v>
      </c>
    </row>
    <row r="174" customFormat="false" ht="12.8" hidden="false" customHeight="false" outlineLevel="0" collapsed="false">
      <c r="A174" s="0" t="s">
        <v>399</v>
      </c>
      <c r="B174" s="0" t="s">
        <v>688</v>
      </c>
      <c r="C174" s="0" t="s">
        <v>689</v>
      </c>
      <c r="D174" s="0" t="s">
        <v>690</v>
      </c>
      <c r="E174" s="3" t="s">
        <v>691</v>
      </c>
      <c r="F174" s="4" t="b">
        <v>0</v>
      </c>
      <c r="G174" s="4" t="b">
        <v>0</v>
      </c>
    </row>
    <row r="175" customFormat="false" ht="12.8" hidden="false" customHeight="false" outlineLevel="0" collapsed="false">
      <c r="A175" s="0" t="s">
        <v>399</v>
      </c>
      <c r="B175" s="0" t="s">
        <v>692</v>
      </c>
      <c r="C175" s="0" t="s">
        <v>693</v>
      </c>
      <c r="D175" s="0" t="s">
        <v>694</v>
      </c>
      <c r="E175" s="3" t="s">
        <v>695</v>
      </c>
      <c r="F175" s="4" t="b">
        <v>0</v>
      </c>
      <c r="G175" s="4" t="b">
        <v>0</v>
      </c>
    </row>
    <row r="176" customFormat="false" ht="12.8" hidden="false" customHeight="false" outlineLevel="0" collapsed="false">
      <c r="A176" s="0" t="s">
        <v>399</v>
      </c>
      <c r="B176" s="0" t="s">
        <v>696</v>
      </c>
      <c r="C176" s="0" t="s">
        <v>697</v>
      </c>
      <c r="D176" s="0" t="s">
        <v>698</v>
      </c>
      <c r="E176" s="3" t="s">
        <v>699</v>
      </c>
      <c r="F176" s="4" t="b">
        <v>0</v>
      </c>
      <c r="G176" s="4" t="b">
        <v>0</v>
      </c>
    </row>
    <row r="177" customFormat="false" ht="12.8" hidden="false" customHeight="false" outlineLevel="0" collapsed="false">
      <c r="A177" s="0" t="s">
        <v>399</v>
      </c>
      <c r="B177" s="0" t="s">
        <v>700</v>
      </c>
      <c r="D177" s="0" t="s">
        <v>701</v>
      </c>
      <c r="E177" s="3" t="s">
        <v>702</v>
      </c>
      <c r="F177" s="4" t="b">
        <v>0</v>
      </c>
      <c r="G177" s="4" t="b">
        <v>0</v>
      </c>
    </row>
    <row r="178" customFormat="false" ht="12.8" hidden="false" customHeight="false" outlineLevel="0" collapsed="false">
      <c r="A178" s="0" t="s">
        <v>399</v>
      </c>
      <c r="B178" s="0" t="s">
        <v>703</v>
      </c>
      <c r="C178" s="0" t="s">
        <v>704</v>
      </c>
      <c r="D178" s="0" t="s">
        <v>705</v>
      </c>
      <c r="E178" s="3" t="s">
        <v>706</v>
      </c>
      <c r="F178" s="4" t="b">
        <v>0</v>
      </c>
      <c r="G178" s="4" t="b">
        <v>0</v>
      </c>
    </row>
    <row r="179" customFormat="false" ht="12.8" hidden="false" customHeight="false" outlineLevel="0" collapsed="false">
      <c r="A179" s="0" t="s">
        <v>399</v>
      </c>
      <c r="B179" s="0" t="s">
        <v>707</v>
      </c>
      <c r="C179" s="0" t="s">
        <v>708</v>
      </c>
      <c r="D179" s="0" t="s">
        <v>709</v>
      </c>
      <c r="E179" s="3" t="s">
        <v>710</v>
      </c>
      <c r="F179" s="4" t="b">
        <v>0</v>
      </c>
      <c r="G179" s="4" t="b">
        <v>0</v>
      </c>
    </row>
    <row r="180" customFormat="false" ht="12.8" hidden="false" customHeight="false" outlineLevel="0" collapsed="false">
      <c r="A180" s="0" t="s">
        <v>399</v>
      </c>
      <c r="B180" s="0" t="s">
        <v>711</v>
      </c>
      <c r="C180" s="0" t="s">
        <v>712</v>
      </c>
      <c r="D180" s="0" t="s">
        <v>713</v>
      </c>
      <c r="E180" s="3" t="s">
        <v>714</v>
      </c>
      <c r="F180" s="4" t="b">
        <v>0</v>
      </c>
      <c r="G180" s="4" t="b">
        <v>0</v>
      </c>
    </row>
    <row r="181" customFormat="false" ht="12.8" hidden="false" customHeight="false" outlineLevel="0" collapsed="false">
      <c r="A181" s="0" t="s">
        <v>399</v>
      </c>
      <c r="B181" s="0" t="s">
        <v>715</v>
      </c>
      <c r="C181" s="0" t="s">
        <v>716</v>
      </c>
      <c r="D181" s="0" t="s">
        <v>717</v>
      </c>
      <c r="E181" s="3" t="s">
        <v>718</v>
      </c>
      <c r="F181" s="4" t="b">
        <v>0</v>
      </c>
      <c r="G181" s="4" t="b">
        <v>0</v>
      </c>
    </row>
    <row r="182" customFormat="false" ht="12.8" hidden="false" customHeight="false" outlineLevel="0" collapsed="false">
      <c r="A182" s="0" t="s">
        <v>399</v>
      </c>
      <c r="B182" s="0" t="s">
        <v>719</v>
      </c>
      <c r="C182" s="0" t="s">
        <v>720</v>
      </c>
      <c r="D182" s="0" t="s">
        <v>721</v>
      </c>
      <c r="E182" s="3" t="s">
        <v>722</v>
      </c>
      <c r="F182" s="4" t="b">
        <v>0</v>
      </c>
      <c r="G182" s="4" t="b">
        <v>0</v>
      </c>
    </row>
    <row r="183" customFormat="false" ht="12.8" hidden="false" customHeight="false" outlineLevel="0" collapsed="false">
      <c r="A183" s="0" t="s">
        <v>399</v>
      </c>
      <c r="B183" s="0" t="s">
        <v>723</v>
      </c>
      <c r="C183" s="0" t="s">
        <v>724</v>
      </c>
      <c r="D183" s="0" t="s">
        <v>725</v>
      </c>
      <c r="E183" s="3" t="s">
        <v>726</v>
      </c>
      <c r="F183" s="4" t="b">
        <v>0</v>
      </c>
      <c r="G183" s="4" t="b">
        <v>0</v>
      </c>
    </row>
    <row r="184" customFormat="false" ht="12.8" hidden="false" customHeight="false" outlineLevel="0" collapsed="false">
      <c r="A184" s="0" t="s">
        <v>399</v>
      </c>
      <c r="B184" s="0" t="s">
        <v>727</v>
      </c>
      <c r="C184" s="0" t="s">
        <v>728</v>
      </c>
      <c r="D184" s="0" t="s">
        <v>729</v>
      </c>
      <c r="E184" s="3" t="s">
        <v>730</v>
      </c>
      <c r="F184" s="4" t="b">
        <v>0</v>
      </c>
      <c r="G184" s="4" t="b">
        <v>0</v>
      </c>
    </row>
    <row r="185" customFormat="false" ht="12.8" hidden="false" customHeight="false" outlineLevel="0" collapsed="false">
      <c r="A185" s="0" t="s">
        <v>399</v>
      </c>
      <c r="B185" s="0" t="s">
        <v>731</v>
      </c>
      <c r="C185" s="0" t="s">
        <v>732</v>
      </c>
      <c r="D185" s="0" t="s">
        <v>733</v>
      </c>
      <c r="E185" s="3" t="s">
        <v>734</v>
      </c>
      <c r="F185" s="4" t="b">
        <v>0</v>
      </c>
      <c r="G185" s="4" t="b">
        <v>0</v>
      </c>
    </row>
    <row r="186" customFormat="false" ht="12.8" hidden="false" customHeight="false" outlineLevel="0" collapsed="false">
      <c r="A186" s="0" t="s">
        <v>399</v>
      </c>
      <c r="B186" s="0" t="s">
        <v>735</v>
      </c>
      <c r="C186" s="0" t="s">
        <v>736</v>
      </c>
      <c r="D186" s="0" t="s">
        <v>737</v>
      </c>
      <c r="E186" s="3" t="s">
        <v>738</v>
      </c>
      <c r="F186" s="4" t="b">
        <v>0</v>
      </c>
      <c r="G186" s="4" t="b">
        <v>0</v>
      </c>
    </row>
    <row r="187" customFormat="false" ht="12.8" hidden="false" customHeight="false" outlineLevel="0" collapsed="false">
      <c r="A187" s="0" t="s">
        <v>399</v>
      </c>
      <c r="B187" s="0" t="s">
        <v>739</v>
      </c>
      <c r="C187" s="0" t="s">
        <v>740</v>
      </c>
      <c r="D187" s="0" t="s">
        <v>741</v>
      </c>
      <c r="E187" s="3" t="s">
        <v>742</v>
      </c>
      <c r="F187" s="4" t="b">
        <v>0</v>
      </c>
      <c r="G187" s="4" t="b">
        <v>0</v>
      </c>
    </row>
    <row r="188" customFormat="false" ht="12.8" hidden="false" customHeight="false" outlineLevel="0" collapsed="false">
      <c r="A188" s="0" t="s">
        <v>399</v>
      </c>
      <c r="B188" s="0" t="s">
        <v>743</v>
      </c>
      <c r="C188" s="0" t="s">
        <v>744</v>
      </c>
      <c r="D188" s="0" t="s">
        <v>745</v>
      </c>
      <c r="E188" s="3" t="s">
        <v>746</v>
      </c>
      <c r="F188" s="4" t="b">
        <v>0</v>
      </c>
      <c r="G188" s="4" t="b">
        <v>0</v>
      </c>
    </row>
    <row r="189" customFormat="false" ht="12.8" hidden="false" customHeight="false" outlineLevel="0" collapsed="false">
      <c r="A189" s="0" t="s">
        <v>399</v>
      </c>
      <c r="B189" s="0" t="s">
        <v>747</v>
      </c>
      <c r="C189" s="0" t="s">
        <v>748</v>
      </c>
      <c r="D189" s="0" t="s">
        <v>749</v>
      </c>
      <c r="E189" s="3" t="s">
        <v>750</v>
      </c>
      <c r="F189" s="4" t="b">
        <v>0</v>
      </c>
      <c r="G189" s="4" t="b">
        <v>0</v>
      </c>
    </row>
    <row r="190" customFormat="false" ht="12.8" hidden="false" customHeight="false" outlineLevel="0" collapsed="false">
      <c r="A190" s="0" t="s">
        <v>399</v>
      </c>
      <c r="B190" s="0" t="s">
        <v>751</v>
      </c>
      <c r="C190" s="0" t="s">
        <v>752</v>
      </c>
      <c r="D190" s="0" t="s">
        <v>753</v>
      </c>
      <c r="E190" s="3" t="s">
        <v>754</v>
      </c>
      <c r="F190" s="4" t="b">
        <v>0</v>
      </c>
      <c r="G190" s="4" t="b">
        <v>0</v>
      </c>
    </row>
    <row r="191" customFormat="false" ht="12.8" hidden="false" customHeight="false" outlineLevel="0" collapsed="false">
      <c r="A191" s="0" t="s">
        <v>399</v>
      </c>
      <c r="B191" s="0" t="s">
        <v>755</v>
      </c>
      <c r="C191" s="0" t="s">
        <v>756</v>
      </c>
      <c r="D191" s="0" t="s">
        <v>757</v>
      </c>
      <c r="E191" s="3" t="s">
        <v>758</v>
      </c>
      <c r="F191" s="4" t="b">
        <v>0</v>
      </c>
      <c r="G191" s="4" t="b">
        <v>0</v>
      </c>
    </row>
    <row r="192" customFormat="false" ht="12.8" hidden="false" customHeight="false" outlineLevel="0" collapsed="false">
      <c r="A192" s="0" t="s">
        <v>399</v>
      </c>
      <c r="B192" s="0" t="s">
        <v>759</v>
      </c>
      <c r="C192" s="0" t="s">
        <v>760</v>
      </c>
      <c r="D192" s="0" t="s">
        <v>761</v>
      </c>
      <c r="E192" s="3" t="s">
        <v>762</v>
      </c>
      <c r="F192" s="4" t="b">
        <v>0</v>
      </c>
      <c r="G192" s="4" t="b">
        <v>0</v>
      </c>
    </row>
    <row r="193" customFormat="false" ht="12.8" hidden="false" customHeight="false" outlineLevel="0" collapsed="false">
      <c r="A193" s="0" t="s">
        <v>399</v>
      </c>
      <c r="B193" s="0" t="s">
        <v>763</v>
      </c>
      <c r="C193" s="0" t="s">
        <v>764</v>
      </c>
      <c r="D193" s="0" t="s">
        <v>16</v>
      </c>
      <c r="E193" s="3" t="s">
        <v>765</v>
      </c>
      <c r="F193" s="4" t="b">
        <v>0</v>
      </c>
      <c r="G193" s="4" t="b">
        <v>0</v>
      </c>
    </row>
    <row r="194" customFormat="false" ht="12.8" hidden="false" customHeight="false" outlineLevel="0" collapsed="false">
      <c r="A194" s="0" t="s">
        <v>399</v>
      </c>
      <c r="B194" s="0" t="s">
        <v>766</v>
      </c>
      <c r="C194" s="0" t="s">
        <v>767</v>
      </c>
      <c r="D194" s="0" t="s">
        <v>16</v>
      </c>
      <c r="E194" s="3" t="s">
        <v>768</v>
      </c>
      <c r="F194" s="4" t="b">
        <v>0</v>
      </c>
      <c r="G194" s="4" t="b">
        <v>0</v>
      </c>
    </row>
    <row r="195" customFormat="false" ht="12.8" hidden="false" customHeight="false" outlineLevel="0" collapsed="false">
      <c r="A195" s="0" t="s">
        <v>399</v>
      </c>
      <c r="B195" s="0" t="s">
        <v>769</v>
      </c>
      <c r="C195" s="0" t="s">
        <v>770</v>
      </c>
      <c r="D195" s="0" t="s">
        <v>771</v>
      </c>
      <c r="E195" s="3" t="s">
        <v>772</v>
      </c>
      <c r="F195" s="4" t="b">
        <v>1</v>
      </c>
      <c r="G195" s="4" t="b">
        <v>0</v>
      </c>
    </row>
    <row r="196" customFormat="false" ht="12.8" hidden="false" customHeight="false" outlineLevel="0" collapsed="false">
      <c r="A196" s="0" t="s">
        <v>399</v>
      </c>
      <c r="B196" s="0" t="s">
        <v>773</v>
      </c>
      <c r="C196" s="0" t="s">
        <v>774</v>
      </c>
      <c r="D196" s="0" t="s">
        <v>16</v>
      </c>
      <c r="E196" s="3" t="s">
        <v>775</v>
      </c>
      <c r="F196" s="4" t="b">
        <v>0</v>
      </c>
      <c r="G196" s="4" t="b">
        <v>0</v>
      </c>
    </row>
    <row r="197" customFormat="false" ht="12.8" hidden="false" customHeight="false" outlineLevel="0" collapsed="false">
      <c r="A197" s="0" t="s">
        <v>399</v>
      </c>
      <c r="B197" s="0" t="s">
        <v>776</v>
      </c>
      <c r="C197" s="0" t="s">
        <v>777</v>
      </c>
      <c r="D197" s="0" t="s">
        <v>778</v>
      </c>
      <c r="E197" s="3" t="s">
        <v>779</v>
      </c>
      <c r="F197" s="4" t="b">
        <v>0</v>
      </c>
      <c r="G197" s="4" t="b">
        <v>0</v>
      </c>
    </row>
    <row r="198" customFormat="false" ht="12.8" hidden="false" customHeight="false" outlineLevel="0" collapsed="false">
      <c r="A198" s="0" t="s">
        <v>399</v>
      </c>
      <c r="B198" s="0" t="s">
        <v>780</v>
      </c>
      <c r="C198" s="0" t="s">
        <v>781</v>
      </c>
      <c r="D198" s="0" t="s">
        <v>782</v>
      </c>
      <c r="E198" s="3" t="s">
        <v>783</v>
      </c>
      <c r="F198" s="4" t="b">
        <v>0</v>
      </c>
      <c r="G198" s="4" t="b">
        <v>0</v>
      </c>
    </row>
    <row r="199" customFormat="false" ht="12.8" hidden="false" customHeight="false" outlineLevel="0" collapsed="false">
      <c r="A199" s="0" t="s">
        <v>399</v>
      </c>
      <c r="B199" s="0" t="s">
        <v>784</v>
      </c>
      <c r="C199" s="0" t="s">
        <v>785</v>
      </c>
      <c r="D199" s="0" t="s">
        <v>16</v>
      </c>
      <c r="E199" s="3" t="s">
        <v>786</v>
      </c>
      <c r="F199" s="4" t="b">
        <v>0</v>
      </c>
      <c r="G199" s="4" t="b">
        <v>0</v>
      </c>
    </row>
    <row r="200" customFormat="false" ht="12.8" hidden="false" customHeight="false" outlineLevel="0" collapsed="false">
      <c r="A200" s="0" t="s">
        <v>399</v>
      </c>
      <c r="B200" s="0" t="s">
        <v>787</v>
      </c>
      <c r="C200" s="0" t="s">
        <v>788</v>
      </c>
      <c r="D200" s="0" t="s">
        <v>789</v>
      </c>
      <c r="E200" s="3" t="s">
        <v>790</v>
      </c>
      <c r="F200" s="4" t="b">
        <v>0</v>
      </c>
      <c r="G200" s="4" t="b">
        <v>0</v>
      </c>
    </row>
    <row r="201" customFormat="false" ht="12.8" hidden="false" customHeight="false" outlineLevel="0" collapsed="false">
      <c r="A201" s="0" t="s">
        <v>399</v>
      </c>
      <c r="B201" s="0" t="s">
        <v>791</v>
      </c>
      <c r="C201" s="0" t="s">
        <v>792</v>
      </c>
      <c r="D201" s="0" t="s">
        <v>793</v>
      </c>
      <c r="E201" s="3" t="s">
        <v>794</v>
      </c>
      <c r="F201" s="4" t="b">
        <v>0</v>
      </c>
      <c r="G201" s="4" t="b">
        <v>0</v>
      </c>
    </row>
    <row r="202" customFormat="false" ht="12.8" hidden="false" customHeight="false" outlineLevel="0" collapsed="false">
      <c r="A202" s="0" t="s">
        <v>399</v>
      </c>
      <c r="B202" s="0" t="s">
        <v>795</v>
      </c>
      <c r="C202" s="0" t="s">
        <v>796</v>
      </c>
      <c r="D202" s="0" t="s">
        <v>797</v>
      </c>
      <c r="E202" s="3" t="s">
        <v>798</v>
      </c>
      <c r="F202" s="4" t="b">
        <v>0</v>
      </c>
      <c r="G202" s="4" t="b">
        <v>0</v>
      </c>
    </row>
  </sheetData>
  <mergeCells count="1">
    <mergeCell ref="F1:G1"/>
  </mergeCells>
  <hyperlinks>
    <hyperlink ref="E3" r:id="rId1" display="https://github.com/Genymobile/scrcpy/pull/5189"/>
    <hyperlink ref="E4" r:id="rId2" display="https://github.com/Genymobile/scrcpy/pull/95"/>
    <hyperlink ref="E5" r:id="rId3" display="https://github.com/ant-design/ant-design/pull/56578"/>
    <hyperlink ref="E6" r:id="rId4" display="https://github.com/ant-design/ant-design/pull/55907"/>
    <hyperlink ref="E7" r:id="rId5" display="https://github.com/ant-design/ant-design/pull/55425"/>
    <hyperlink ref="E8" r:id="rId6" display="https://github.com/ant-design/ant-design/pull/54600"/>
    <hyperlink ref="E9" r:id="rId7" display="https://github.com/ant-design/ant-design/pull/54062"/>
    <hyperlink ref="E10" r:id="rId8" display="https://github.com/ant-design/ant-design/pull/51102"/>
    <hyperlink ref="E11" r:id="rId9" display="https://github.com/ant-design/ant-design/pull/50993"/>
    <hyperlink ref="E12" r:id="rId10" display="https://github.com/ant-design/ant-design/pull/50515"/>
    <hyperlink ref="E13" r:id="rId11" display="https://github.com/ant-design/ant-design/pull/49029"/>
    <hyperlink ref="E14" r:id="rId12" display="https://github.com/ant-design/ant-design/pull/48021"/>
    <hyperlink ref="E15" r:id="rId13" display="https://github.com/ant-design/ant-design/pull/47745"/>
    <hyperlink ref="E16" r:id="rId14" display="https://github.com/ant-design/ant-design/pull/45067"/>
    <hyperlink ref="H16" r:id="rId15" location="branch-organization" display="Regular merge of master and feature branches"/>
    <hyperlink ref="E17" r:id="rId16" display="https://github.com/ant-design/ant-design/pull/44125"/>
    <hyperlink ref="E18" r:id="rId17" display="https://github.com/ant-design/ant-design/pull/43872"/>
    <hyperlink ref="E19" r:id="rId18" display="https://github.com/ant-design/ant-design/pull/41752"/>
    <hyperlink ref="E20" r:id="rId19" display="https://github.com/ant-design/ant-design/pull/39689"/>
    <hyperlink ref="E21" r:id="rId20" display="https://github.com/ant-design/ant-design/pull/38930"/>
    <hyperlink ref="E22" r:id="rId21" display="https://github.com/ant-design/ant-design/pull/38631"/>
    <hyperlink ref="E23" r:id="rId22" display="https://github.com/ant-design/ant-design/pull/38071"/>
    <hyperlink ref="E24" r:id="rId23" display="https://github.com/ant-design/ant-design/pull/38048"/>
    <hyperlink ref="E25" r:id="rId24" display="https://github.com/ant-design/ant-design/pull/36351"/>
    <hyperlink ref="H25" r:id="rId25" location="branch-organization" display="Regular merge of master and feature branches"/>
    <hyperlink ref="E26" r:id="rId26" display="https://github.com/ant-design/ant-design/pull/35332"/>
    <hyperlink ref="E27" r:id="rId27" display="https://github.com/ant-design/ant-design/pull/35269"/>
    <hyperlink ref="E28" r:id="rId28" display="https://github.com/ant-design/ant-design/pull/33038"/>
    <hyperlink ref="H28" r:id="rId29" location="branch-organization" display="Regular merge of master and feature branches"/>
    <hyperlink ref="E29" r:id="rId30" display="https://github.com/ant-design/ant-design/pull/27759"/>
    <hyperlink ref="E30" r:id="rId31" display="https://github.com/ant-design/ant-design/pull/26255"/>
    <hyperlink ref="E31" r:id="rId32" display="https://github.com/ant-design/ant-design/pull/26244"/>
    <hyperlink ref="E32" r:id="rId33" display="https://github.com/ant-design/ant-design/pull/24143"/>
    <hyperlink ref="E33" r:id="rId34" display="https://github.com/ant-design/ant-design/pull/22829"/>
    <hyperlink ref="E34" r:id="rId35" display="https://github.com/ant-design/ant-design/pull/22052"/>
    <hyperlink ref="E35" r:id="rId36" display="https://github.com/ant-design/ant-design/pull/18531"/>
    <hyperlink ref="E36" r:id="rId37" display="https://github.com/ant-design/ant-design/pull/15283"/>
    <hyperlink ref="H36" r:id="rId38" location="branch-organization" display="Regular merge of master and feature branches"/>
    <hyperlink ref="E37" r:id="rId39" display="https://github.com/ant-design/ant-design/pull/10934"/>
    <hyperlink ref="E38" r:id="rId40" display="https://github.com/ant-design/ant-design/pull/7005"/>
    <hyperlink ref="E39" r:id="rId41" display="https://github.com/ant-design/ant-design/pull/6296"/>
    <hyperlink ref="E40" r:id="rId42" display="https://github.com/ant-design/ant-design/pull/4812"/>
    <hyperlink ref="E41" r:id="rId43" display="https://github.com/ant-design/ant-design/pull/4436"/>
    <hyperlink ref="E42" r:id="rId44" display="https://github.com/ant-design/ant-design/pull/3264"/>
    <hyperlink ref="E43" r:id="rId45" display="https://github.com/ant-design/ant-design/pull/566"/>
    <hyperlink ref="E44" r:id="rId46" display="https://github.com/ant-design/ant-design/pull/81"/>
    <hyperlink ref="E45" r:id="rId47" display="https://github.com/langchain-ai/langchain/pull/36434"/>
    <hyperlink ref="E46" r:id="rId48" display="https://github.com/langchain-ai/langchain/pull/35768"/>
    <hyperlink ref="E47" r:id="rId49" display="https://github.com/langchain-ai/langchain/pull/35302"/>
    <hyperlink ref="E48" r:id="rId50" display="https://github.com/langchain-ai/langchain/pull/34964"/>
    <hyperlink ref="E49" r:id="rId51" display="https://github.com/langchain-ai/langchain/pull/34737"/>
    <hyperlink ref="E50" r:id="rId52" display="https://github.com/langchain-ai/langchain/pull/33227"/>
    <hyperlink ref="E51" r:id="rId53" display="https://github.com/langchain-ai/langchain/pull/29858"/>
    <hyperlink ref="E52" r:id="rId54" display="https://github.com/langchain-ai/langchain/pull/29353"/>
    <hyperlink ref="H52" r:id="rId55" location="fixes" display="Ruff can automatically apply many fixes"/>
    <hyperlink ref="E53" r:id="rId56" display="https://github.com/langchain-ai/langchain/pull/28969"/>
    <hyperlink ref="E54" r:id="rId57" display="https://github.com/langchain-ai/langchain/pull/28556"/>
    <hyperlink ref="E55" r:id="rId58" display="https://github.com/langchain-ai/langchain/pull/28177"/>
    <hyperlink ref="E56" r:id="rId59" display="https://github.com/langchain-ai/langchain/pull/27271"/>
    <hyperlink ref="E57" r:id="rId60" display="https://github.com/langchain-ai/langchain/pull/24619"/>
    <hyperlink ref="E58" r:id="rId61" display="https://github.com/langchain-ai/langchain/pull/24448"/>
    <hyperlink ref="E59" r:id="rId62" display="https://github.com/langchain-ai/langchain/pull/22265"/>
    <hyperlink ref="E60" r:id="rId63" display="https://github.com/langchain-ai/langchain/pull/21039"/>
    <hyperlink ref="E61" r:id="rId64" display="https://github.com/langchain-ai/langchain/pull/20843"/>
    <hyperlink ref="E62" r:id="rId65" display="https://github.com/langchain-ai/langchain/pull/18937"/>
    <hyperlink ref="E63" r:id="rId66" display="https://github.com/langchain-ai/langchain/pull/18667"/>
    <hyperlink ref="E64" r:id="rId67" display="https://github.com/langchain-ai/langchain/pull/17282"/>
    <hyperlink ref="E65" r:id="rId68" display="https://github.com/langchain-ai/langchain/pull/16209"/>
    <hyperlink ref="E66" r:id="rId69" display="https://github.com/langchain-ai/langchain/pull/15588"/>
    <hyperlink ref="E67" r:id="rId70" display="https://github.com/langchain-ai/langchain/pull/14604"/>
    <hyperlink ref="E68" r:id="rId71" display="https://github.com/langchain-ai/langchain/pull/13841"/>
    <hyperlink ref="E69" r:id="rId72" display="https://github.com/langchain-ai/langchain/pull/13557"/>
    <hyperlink ref="E70" r:id="rId73" display="https://github.com/langchain-ai/langchain/pull/13487"/>
    <hyperlink ref="E71" r:id="rId74" display="https://github.com/langchain-ai/langchain/pull/12284"/>
    <hyperlink ref="E72" r:id="rId75" display="https://github.com/langchain-ai/langchain/pull/12003"/>
    <hyperlink ref="E73" r:id="rId76" display="https://github.com/langchain-ai/langchain/pull/11585"/>
    <hyperlink ref="E74" r:id="rId77" display="https://github.com/langchain-ai/langchain/pull/9759"/>
    <hyperlink ref="E75" r:id="rId78" display="https://github.com/langchain-ai/langchain/pull/9196"/>
    <hyperlink ref="E76" r:id="rId79" display="https://github.com/langchain-ai/langchain/pull/8268"/>
    <hyperlink ref="E77" r:id="rId80" display="https://github.com/langchain-ai/langchain/pull/7370"/>
    <hyperlink ref="E78" r:id="rId81" display="https://github.com/langchain-ai/langchain/pull/6400"/>
    <hyperlink ref="E79" r:id="rId82" display="https://github.com/langchain-ai/langchain/pull/4811"/>
    <hyperlink ref="E80" r:id="rId83" display="https://github.com/langchain-ai/langchain/pull/4747"/>
    <hyperlink ref="E81" r:id="rId84" display="https://github.com/langchain-ai/langchain/pull/4650"/>
    <hyperlink ref="E82" r:id="rId85" display="https://github.com/langchain-ai/langchain/pull/3768"/>
    <hyperlink ref="E83" r:id="rId86" display="https://github.com/langchain-ai/langchain/pull/2108"/>
    <hyperlink ref="E84" r:id="rId87" display="https://github.com/langchain-ai/langchain/pull/1238"/>
    <hyperlink ref="E85" r:id="rId88" display="https://github.com/langchain-ai/langchain/pull/884"/>
    <hyperlink ref="E86" r:id="rId89" display="https://github.com/microsoft/PowerToys/pull/47352"/>
    <hyperlink ref="E87" r:id="rId90" display="https://github.com/microsoft/PowerToys/pull/46894"/>
    <hyperlink ref="E88" r:id="rId91" display="https://github.com/microsoft/PowerToys/pull/44577"/>
    <hyperlink ref="H88" r:id="rId92" display="other repositories"/>
    <hyperlink ref="E89" r:id="rId93" display="https://github.com/microsoft/PowerToys/pull/40768"/>
    <hyperlink ref="E90" r:id="rId94" display="https://github.com/microsoft/PowerToys/pull/37015"/>
    <hyperlink ref="E91" r:id="rId95" display="https://github.com/microsoft/PowerToys/pull/36217"/>
    <hyperlink ref="E92" r:id="rId96" display="https://github.com/microsoft/PowerToys/pull/28676"/>
    <hyperlink ref="E93" r:id="rId97" display="https://github.com/microsoft/PowerToys/pull/15575"/>
    <hyperlink ref="E94" r:id="rId98" display="https://github.com/microsoft/PowerToys/pull/13489"/>
    <hyperlink ref="E95" r:id="rId99" display="https://github.com/microsoft/PowerToys/pull/10107"/>
    <hyperlink ref="E96" r:id="rId100" display="https://github.com/microsoft/PowerToys/pull/8145"/>
    <hyperlink ref="E97" r:id="rId101" display="https://github.com/microsoft/PowerToys/pull/6848"/>
    <hyperlink ref="E98" r:id="rId102" display="https://github.com/microsoft/PowerToys/pull/6839"/>
    <hyperlink ref="E99" r:id="rId103" display="https://github.com/microsoft/PowerToys/pull/3256"/>
    <hyperlink ref="E100" r:id="rId104" display="https://github.com/microsoft/PowerToys/pull/1286"/>
    <hyperlink ref="E101" r:id="rId105" display="https://github.com/microsoft/vscode/pull/315217"/>
    <hyperlink ref="E102" r:id="rId106" display="https://github.com/microsoft/vscode/pull/315042"/>
    <hyperlink ref="E103" r:id="rId107" display="https://github.com/microsoft/vscode/pull/314643"/>
    <hyperlink ref="E104" r:id="rId108" display="https://github.com/microsoft/vscode/pull/307007"/>
    <hyperlink ref="E105" r:id="rId109" display="https://github.com/microsoft/vscode/pull/300897"/>
    <hyperlink ref="E106" r:id="rId110" display="https://github.com/microsoft/vscode/pull/299352"/>
    <hyperlink ref="E107" r:id="rId111" display="https://github.com/microsoft/vscode/pull/299008"/>
    <hyperlink ref="E108" r:id="rId112" display="https://github.com/microsoft/vscode/pull/298921"/>
    <hyperlink ref="E109" r:id="rId113" display="https://github.com/microsoft/vscode/pull/298546"/>
    <hyperlink ref="E110" r:id="rId114" display="https://github.com/microsoft/vscode/pull/296577"/>
    <hyperlink ref="E111" r:id="rId115" display="https://github.com/microsoft/vscode/pull/287887"/>
    <hyperlink ref="E112" r:id="rId116" display="https://github.com/microsoft/vscode/pull/286484"/>
    <hyperlink ref="E113" r:id="rId117" display="https://github.com/microsoft/vscode/pull/286053"/>
    <hyperlink ref="E114" r:id="rId118" display="https://github.com/microsoft/vscode/pull/283813"/>
    <hyperlink ref="E115" r:id="rId119" display="https://github.com/microsoft/vscode/pull/282092"/>
    <hyperlink ref="E116" r:id="rId120" display="https://github.com/microsoft/vscode/pull/282063"/>
    <hyperlink ref="E117" r:id="rId121" display="https://github.com/microsoft/vscode/pull/278056"/>
    <hyperlink ref="E118" r:id="rId122" display="https://github.com/microsoft/vscode/pull/277501"/>
    <hyperlink ref="E119" r:id="rId123" display="https://github.com/microsoft/vscode/pull/276388"/>
    <hyperlink ref="E120" r:id="rId124" display="https://github.com/microsoft/vscode/pull/275971"/>
    <hyperlink ref="E121" r:id="rId125" display="https://github.com/microsoft/vscode/pull/275956"/>
    <hyperlink ref="E122" r:id="rId126" display="https://github.com/microsoft/vscode/pull/275836"/>
    <hyperlink ref="E123" r:id="rId127" display="https://github.com/microsoft/vscode/pull/274927"/>
    <hyperlink ref="E124" r:id="rId128" display="https://github.com/microsoft/vscode/pull/272351"/>
    <hyperlink ref="E125" r:id="rId129" display="https://github.com/microsoft/vscode/pull/267851"/>
    <hyperlink ref="E126" r:id="rId130" display="https://github.com/microsoft/vscode/pull/262878"/>
    <hyperlink ref="E127" r:id="rId131" display="https://github.com/microsoft/vscode/pull/261231"/>
    <hyperlink ref="E128" r:id="rId132" display="https://github.com/microsoft/vscode/pull/257139"/>
    <hyperlink ref="E129" r:id="rId133" display="https://github.com/microsoft/vscode/pull/253623"/>
    <hyperlink ref="E130" r:id="rId134" display="https://github.com/microsoft/vscode/pull/253533"/>
    <hyperlink ref="E131" r:id="rId135" display="https://github.com/microsoft/vscode/pull/252603"/>
    <hyperlink ref="E132" r:id="rId136" display="https://github.com/microsoft/vscode/pull/250753"/>
    <hyperlink ref="E133" r:id="rId137" display="https://github.com/microsoft/vscode/pull/248218"/>
    <hyperlink ref="E134" r:id="rId138" display="https://github.com/microsoft/vscode/pull/247852"/>
    <hyperlink ref="E135" r:id="rId139" display="https://github.com/microsoft/vscode/pull/246611"/>
    <hyperlink ref="E136" r:id="rId140" display="https://github.com/microsoft/vscode/pull/241780"/>
    <hyperlink ref="E137" r:id="rId141" display="https://github.com/microsoft/vscode/pull/240590"/>
    <hyperlink ref="E138" r:id="rId142" display="https://github.com/microsoft/vscode/pull/239522"/>
    <hyperlink ref="E139" r:id="rId143" display="https://github.com/microsoft/vscode/pull/238826"/>
    <hyperlink ref="E140" r:id="rId144" display="https://github.com/microsoft/vscode/pull/237817"/>
    <hyperlink ref="E141" r:id="rId145" display="https://github.com/microsoft/vscode/pull/237257"/>
    <hyperlink ref="E142" r:id="rId146" display="https://github.com/microsoft/vscode/pull/236516"/>
    <hyperlink ref="E143" r:id="rId147" display="https://github.com/microsoft/vscode/pull/233670"/>
    <hyperlink ref="E144" r:id="rId148" display="https://github.com/microsoft/vscode/pull/232542"/>
    <hyperlink ref="E145" r:id="rId149" display="https://github.com/microsoft/vscode/pull/230543"/>
    <hyperlink ref="E146" r:id="rId150" display="https://github.com/microsoft/vscode/pull/229765"/>
    <hyperlink ref="E147" r:id="rId151" display="https://github.com/microsoft/vscode/pull/228266"/>
    <hyperlink ref="E148" r:id="rId152" display="https://github.com/microsoft/vscode/pull/222252"/>
    <hyperlink ref="E149" r:id="rId153" display="https://github.com/microsoft/vscode/pull/216557"/>
    <hyperlink ref="E150" r:id="rId154" display="https://github.com/microsoft/vscode/pull/213396"/>
    <hyperlink ref="E151" r:id="rId155" display="https://github.com/microsoft/vscode/pull/212886"/>
    <hyperlink ref="E152" r:id="rId156" display="https://github.com/microsoft/vscode/pull/207564"/>
    <hyperlink ref="E153" r:id="rId157" display="https://github.com/microsoft/vscode/pull/206562"/>
    <hyperlink ref="E154" r:id="rId158" display="https://github.com/microsoft/vscode/pull/203991"/>
    <hyperlink ref="E155" r:id="rId159" display="https://github.com/microsoft/vscode/pull/202067"/>
    <hyperlink ref="E156" r:id="rId160" display="https://github.com/microsoft/vscode/pull/199983"/>
    <hyperlink ref="E157" r:id="rId161" display="https://github.com/microsoft/vscode/pull/199902"/>
    <hyperlink ref="E158" r:id="rId162" display="https://github.com/microsoft/vscode/pull/199821"/>
    <hyperlink ref="E159" r:id="rId163" display="https://github.com/microsoft/vscode/pull/198946"/>
    <hyperlink ref="E160" r:id="rId164" display="https://github.com/microsoft/vscode/pull/197847"/>
    <hyperlink ref="E161" r:id="rId165" display="https://github.com/microsoft/vscode/pull/197579"/>
    <hyperlink ref="E162" r:id="rId166" display="https://github.com/microsoft/vscode/pull/196190"/>
    <hyperlink ref="E163" r:id="rId167" display="https://github.com/microsoft/vscode/pull/193788"/>
    <hyperlink ref="E164" r:id="rId168" display="https://github.com/microsoft/vscode/pull/191912"/>
    <hyperlink ref="E165" r:id="rId169" display="https://github.com/microsoft/vscode/pull/190649"/>
    <hyperlink ref="E166" r:id="rId170" display="https://github.com/microsoft/vscode/pull/190648"/>
    <hyperlink ref="E167" r:id="rId171" display="https://github.com/microsoft/vscode/pull/189349"/>
    <hyperlink ref="E168" r:id="rId172" display="https://github.com/microsoft/vscode/pull/187592"/>
    <hyperlink ref="E169" r:id="rId173" display="https://github.com/microsoft/vscode/pull/185846"/>
    <hyperlink ref="E170" r:id="rId174" display="https://github.com/microsoft/vscode/pull/181412"/>
    <hyperlink ref="E171" r:id="rId175" display="https://github.com/microsoft/vscode/pull/180903"/>
    <hyperlink ref="E172" r:id="rId176" display="https://github.com/microsoft/vscode/pull/180763"/>
    <hyperlink ref="E173" r:id="rId177" display="https://github.com/microsoft/vscode/pull/178148"/>
    <hyperlink ref="E174" r:id="rId178" display="https://github.com/microsoft/vscode/pull/175820"/>
    <hyperlink ref="E175" r:id="rId179" display="https://github.com/microsoft/vscode/pull/172491"/>
    <hyperlink ref="E176" r:id="rId180" display="https://github.com/microsoft/vscode/pull/170968"/>
    <hyperlink ref="E177" r:id="rId181" display="https://github.com/microsoft/vscode/pull/168707"/>
    <hyperlink ref="E178" r:id="rId182" display="https://github.com/microsoft/vscode/pull/166764"/>
    <hyperlink ref="E179" r:id="rId183" display="https://github.com/microsoft/vscode/pull/165446"/>
    <hyperlink ref="E180" r:id="rId184" display="https://github.com/microsoft/vscode/pull/161393"/>
    <hyperlink ref="E181" r:id="rId185" display="https://github.com/microsoft/vscode/pull/159505"/>
    <hyperlink ref="E182" r:id="rId186" display="https://github.com/microsoft/vscode/pull/153614"/>
    <hyperlink ref="E183" r:id="rId187" display="https://github.com/microsoft/vscode/pull/123644"/>
    <hyperlink ref="E184" r:id="rId188" display="https://github.com/microsoft/vscode/pull/120134"/>
    <hyperlink ref="E185" r:id="rId189" display="https://github.com/microsoft/vscode/pull/119972"/>
    <hyperlink ref="E186" r:id="rId190" display="https://github.com/microsoft/vscode/pull/94486"/>
    <hyperlink ref="E187" r:id="rId191" display="https://github.com/microsoft/vscode/pull/88040"/>
    <hyperlink ref="E188" r:id="rId192" display="https://github.com/microsoft/vscode/pull/84733"/>
    <hyperlink ref="E189" r:id="rId193" display="https://github.com/microsoft/vscode/pull/83788"/>
    <hyperlink ref="E190" r:id="rId194" display="https://github.com/microsoft/vscode/pull/80340"/>
    <hyperlink ref="E191" r:id="rId195" display="https://github.com/microsoft/vscode/pull/75546"/>
    <hyperlink ref="E192" r:id="rId196" display="https://github.com/microsoft/vscode/pull/70244"/>
    <hyperlink ref="E193" r:id="rId197" display="https://github.com/microsoft/vscode/pull/68578"/>
    <hyperlink ref="E194" r:id="rId198" display="https://github.com/microsoft/vscode/pull/62678"/>
    <hyperlink ref="E195" r:id="rId199" display="https://github.com/microsoft/vscode/pull/60080"/>
    <hyperlink ref="E196" r:id="rId200" display="https://github.com/microsoft/vscode/pull/51511"/>
    <hyperlink ref="E197" r:id="rId201" display="https://github.com/microsoft/vscode/pull/48290"/>
    <hyperlink ref="E198" r:id="rId202" display="https://github.com/microsoft/vscode/pull/43345"/>
    <hyperlink ref="E199" r:id="rId203" display="https://github.com/microsoft/vscode/pull/33963"/>
    <hyperlink ref="E200" r:id="rId204" display="https://github.com/microsoft/vscode/pull/28840"/>
    <hyperlink ref="E201" r:id="rId205" display="https://github.com/microsoft/vscode/pull/10309"/>
    <hyperlink ref="E202" r:id="rId206" display="https://github.com/microsoft/vscode/pull/8019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5" width="16.2"/>
    <col collapsed="false" customWidth="true" hidden="false" outlineLevel="0" max="2" min="2" style="6" width="77.84"/>
  </cols>
  <sheetData>
    <row r="1" customFormat="false" ht="46.6" hidden="false" customHeight="false" outlineLevel="0" collapsed="false">
      <c r="A1" s="5" t="s">
        <v>799</v>
      </c>
      <c r="B1" s="6" t="s">
        <v>800</v>
      </c>
    </row>
    <row r="2" customFormat="false" ht="12.8" hidden="false" customHeight="false" outlineLevel="0" collapsed="false">
      <c r="A2" s="5" t="s">
        <v>801</v>
      </c>
      <c r="B2" s="6" t="s">
        <v>802</v>
      </c>
    </row>
    <row r="3" customFormat="false" ht="24.05" hidden="false" customHeight="false" outlineLevel="0" collapsed="false">
      <c r="A3" s="5" t="s">
        <v>803</v>
      </c>
      <c r="B3" s="6" t="s">
        <v>804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9"/>
  </cols>
  <sheetData>
    <row r="1" customFormat="false" ht="12.8" hidden="false" customHeight="false" outlineLevel="0" collapsed="false">
      <c r="C1" s="2" t="s">
        <v>7</v>
      </c>
      <c r="D1" s="2"/>
    </row>
    <row r="2" customFormat="false" ht="12.8" hidden="false" customHeight="false" outlineLevel="0" collapsed="false">
      <c r="C2" s="2" t="s">
        <v>805</v>
      </c>
      <c r="D2" s="2" t="s">
        <v>806</v>
      </c>
    </row>
    <row r="3" customFormat="false" ht="12.8" hidden="false" customHeight="false" outlineLevel="0" collapsed="false">
      <c r="A3" s="7" t="s">
        <v>6</v>
      </c>
      <c r="B3" s="8" t="s">
        <v>805</v>
      </c>
      <c r="C3" s="0" t="n">
        <f aca="false">COUNTIFS('Pull Requests'!F:F, 1, 'Pull Requests'!G:G, 1)</f>
        <v>12</v>
      </c>
      <c r="D3" s="0" t="n">
        <f aca="false">COUNTIFS('Pull Requests'!F:F, 1, 'Pull Requests'!G:G, 0)</f>
        <v>11</v>
      </c>
      <c r="E3" s="0" t="n">
        <f aca="false">C3 + D3</f>
        <v>23</v>
      </c>
    </row>
    <row r="4" customFormat="false" ht="12.8" hidden="false" customHeight="false" outlineLevel="0" collapsed="false">
      <c r="A4" s="7"/>
      <c r="B4" s="8" t="s">
        <v>806</v>
      </c>
      <c r="C4" s="0" t="n">
        <f aca="false">COUNTIFS('Pull Requests'!F:F, 0, 'Pull Requests'!G:G, 1)</f>
        <v>4</v>
      </c>
      <c r="D4" s="0" t="n">
        <f aca="false">COUNTIFS('Pull Requests'!F:F, 0, 'Pull Requests'!G:G, 0)</f>
        <v>173</v>
      </c>
      <c r="E4" s="0" t="n">
        <f aca="false">C4 + D4</f>
        <v>177</v>
      </c>
    </row>
    <row r="5" customFormat="false" ht="12.8" hidden="false" customHeight="false" outlineLevel="0" collapsed="false">
      <c r="C5" s="0" t="n">
        <f aca="false">C3 + C4</f>
        <v>16</v>
      </c>
      <c r="D5" s="0" t="n">
        <f aca="false">D3 + D4</f>
        <v>184</v>
      </c>
      <c r="E5" s="0" t="n">
        <f aca="false">C3 + D3 + C4 + D4</f>
        <v>200</v>
      </c>
    </row>
    <row r="7" customFormat="false" ht="12.8" hidden="false" customHeight="false" outlineLevel="0" collapsed="false">
      <c r="A7" s="9" t="s">
        <v>807</v>
      </c>
    </row>
    <row r="8" customFormat="false" ht="12.8" hidden="false" customHeight="false" outlineLevel="0" collapsed="false">
      <c r="B8" s="2" t="s">
        <v>805</v>
      </c>
      <c r="C8" s="2" t="s">
        <v>806</v>
      </c>
      <c r="D8" s="2" t="s">
        <v>808</v>
      </c>
    </row>
    <row r="9" customFormat="false" ht="12.8" hidden="false" customHeight="false" outlineLevel="0" collapsed="false">
      <c r="A9" s="1" t="s">
        <v>809</v>
      </c>
      <c r="B9" s="0" t="n">
        <f aca="false">C3</f>
        <v>12</v>
      </c>
      <c r="C9" s="0" t="n">
        <f aca="false">D4</f>
        <v>173</v>
      </c>
      <c r="D9" s="0" t="n">
        <f aca="false">B9 + C9</f>
        <v>185</v>
      </c>
    </row>
    <row r="10" customFormat="false" ht="12.8" hidden="false" customHeight="false" outlineLevel="0" collapsed="false">
      <c r="A10" s="1" t="s">
        <v>810</v>
      </c>
      <c r="B10" s="10" t="n">
        <f aca="false">C3 / E3</f>
        <v>0.521739130434783</v>
      </c>
      <c r="C10" s="10" t="n">
        <f aca="false">D4 / E4</f>
        <v>0.977401129943503</v>
      </c>
    </row>
    <row r="11" customFormat="false" ht="12.8" hidden="false" customHeight="false" outlineLevel="0" collapsed="false">
      <c r="A11" s="1" t="s">
        <v>811</v>
      </c>
      <c r="B11" s="10" t="n">
        <f aca="false">C3 / C5</f>
        <v>0.75</v>
      </c>
      <c r="C11" s="10" t="n">
        <f aca="false">D4 / D5</f>
        <v>0.940217391304348</v>
      </c>
    </row>
    <row r="12" customFormat="false" ht="12.8" hidden="false" customHeight="false" outlineLevel="0" collapsed="false">
      <c r="A12" s="1" t="s">
        <v>812</v>
      </c>
      <c r="D12" s="10" t="n">
        <f aca="false">D9 / E5</f>
        <v>0.925</v>
      </c>
    </row>
    <row r="14" customFormat="false" ht="12.8" hidden="false" customHeight="false" outlineLevel="0" collapsed="false">
      <c r="A14" s="9" t="s">
        <v>813</v>
      </c>
    </row>
    <row r="15" customFormat="false" ht="12.8" hidden="false" customHeight="false" outlineLevel="0" collapsed="false">
      <c r="A15" s="11" t="s">
        <v>814</v>
      </c>
      <c r="B15" s="10" t="n">
        <f aca="false">(C3 + D4) / E5</f>
        <v>0.925</v>
      </c>
    </row>
    <row r="16" customFormat="false" ht="12.8" hidden="false" customHeight="false" outlineLevel="0" collapsed="false">
      <c r="A16" s="11" t="s">
        <v>815</v>
      </c>
      <c r="B16" s="10" t="n">
        <f aca="false">(E3 * C5 + E4 * D5) / (E5 * E5)</f>
        <v>0.8234</v>
      </c>
    </row>
    <row r="17" customFormat="false" ht="12.8" hidden="false" customHeight="false" outlineLevel="0" collapsed="false">
      <c r="A17" s="1" t="s">
        <v>816</v>
      </c>
      <c r="B17" s="10" t="n">
        <f aca="false">(B15 - B16) / (1 - B16)</f>
        <v>0.575311438278596</v>
      </c>
    </row>
  </sheetData>
  <mergeCells count="2">
    <mergeCell ref="C1:D1"/>
    <mergeCell ref="A3:A4"/>
  </mergeCells>
  <hyperlinks>
    <hyperlink ref="A14" r:id="rId1" display="Cohen’s κ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2026-07-23T22:07:02Z</dcterms:created>
  <dc:creator>Daniel Kareh</dc:creator>
  <dc:description/>
  <dc:language>en-US</dc:language>
  <cp:lastModifiedBy>Daniel Kareh</cp:lastModifiedBy>
  <dcterms:modified xsi:type="dcterms:W3CDTF">2026-09-26T20:56:07Z</dcterms:modified>
  <cp:revision>18</cp:revision>
  <dc:subject/>
  <dc:title/>
</cp:coreProperties>
</file>